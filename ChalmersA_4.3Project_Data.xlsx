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man\Documents\Month 8 - PTR BIN610-O\ChalmersA_4.3Project\"/>
    </mc:Choice>
  </mc:AlternateContent>
  <xr:revisionPtr revIDLastSave="0" documentId="13_ncr:1_{C4B50AEB-B578-45D9-B533-1271F6B2F5DA}" xr6:coauthVersionLast="47" xr6:coauthVersionMax="47" xr10:uidLastSave="{00000000-0000-0000-0000-000000000000}"/>
  <bookViews>
    <workbookView xWindow="2580" yWindow="2580" windowWidth="22710" windowHeight="11170" activeTab="1" xr2:uid="{FC0D5616-C923-4E07-BC45-12B16F06817E}"/>
  </bookViews>
  <sheets>
    <sheet name="ETSY Historical - 2YRS" sheetId="1" r:id="rId1"/>
    <sheet name="Bollinger Bands" sheetId="2" r:id="rId2"/>
    <sheet name="Sentiment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2" i="2" l="1"/>
  <c r="E22" i="2" s="1"/>
  <c r="D22" i="2"/>
  <c r="C23" i="2"/>
  <c r="D23" i="2"/>
  <c r="E23" i="2"/>
  <c r="F23" i="2"/>
  <c r="C24" i="2"/>
  <c r="D24" i="2"/>
  <c r="E24" i="2"/>
  <c r="F24" i="2"/>
  <c r="C25" i="2"/>
  <c r="D25" i="2"/>
  <c r="C26" i="2"/>
  <c r="E26" i="2" s="1"/>
  <c r="D26" i="2"/>
  <c r="C27" i="2"/>
  <c r="D27" i="2"/>
  <c r="E27" i="2"/>
  <c r="F27" i="2"/>
  <c r="C28" i="2"/>
  <c r="F28" i="2" s="1"/>
  <c r="D28" i="2"/>
  <c r="E28" i="2"/>
  <c r="C29" i="2"/>
  <c r="D29" i="2"/>
  <c r="E29" i="2"/>
  <c r="F29" i="2"/>
  <c r="C30" i="2"/>
  <c r="D30" i="2"/>
  <c r="E30" i="2"/>
  <c r="F30" i="2"/>
  <c r="C31" i="2"/>
  <c r="D31" i="2"/>
  <c r="C32" i="2"/>
  <c r="D32" i="2"/>
  <c r="E32" i="2"/>
  <c r="F32" i="2"/>
  <c r="C33" i="2"/>
  <c r="D33" i="2"/>
  <c r="E33" i="2"/>
  <c r="F33" i="2"/>
  <c r="C34" i="2"/>
  <c r="F34" i="2" s="1"/>
  <c r="D34" i="2"/>
  <c r="E34" i="2"/>
  <c r="C35" i="2"/>
  <c r="D35" i="2"/>
  <c r="E35" i="2"/>
  <c r="F35" i="2"/>
  <c r="C36" i="2"/>
  <c r="F36" i="2" s="1"/>
  <c r="D36" i="2"/>
  <c r="E36" i="2"/>
  <c r="C37" i="2"/>
  <c r="D37" i="2"/>
  <c r="C38" i="2"/>
  <c r="D38" i="2"/>
  <c r="E38" i="2"/>
  <c r="F38" i="2"/>
  <c r="C39" i="2"/>
  <c r="F39" i="2" s="1"/>
  <c r="D39" i="2"/>
  <c r="E39" i="2"/>
  <c r="C40" i="2"/>
  <c r="F40" i="2" s="1"/>
  <c r="D40" i="2"/>
  <c r="E40" i="2"/>
  <c r="C41" i="2"/>
  <c r="D41" i="2"/>
  <c r="E41" i="2"/>
  <c r="F41" i="2"/>
  <c r="C42" i="2"/>
  <c r="F42" i="2" s="1"/>
  <c r="D42" i="2"/>
  <c r="E42" i="2"/>
  <c r="C43" i="2"/>
  <c r="D43" i="2"/>
  <c r="C44" i="2"/>
  <c r="D44" i="2"/>
  <c r="E44" i="2"/>
  <c r="F44" i="2"/>
  <c r="C45" i="2"/>
  <c r="D45" i="2"/>
  <c r="E45" i="2"/>
  <c r="F45" i="2"/>
  <c r="C46" i="2"/>
  <c r="F46" i="2" s="1"/>
  <c r="D46" i="2"/>
  <c r="E46" i="2"/>
  <c r="C47" i="2"/>
  <c r="D47" i="2"/>
  <c r="E47" i="2"/>
  <c r="F47" i="2"/>
  <c r="C48" i="2"/>
  <c r="E48" i="2" s="1"/>
  <c r="D48" i="2"/>
  <c r="F48" i="2"/>
  <c r="C49" i="2"/>
  <c r="D49" i="2"/>
  <c r="C50" i="2"/>
  <c r="F50" i="2" s="1"/>
  <c r="D50" i="2"/>
  <c r="E50" i="2"/>
  <c r="C51" i="2"/>
  <c r="D51" i="2"/>
  <c r="E51" i="2"/>
  <c r="F51" i="2"/>
  <c r="C52" i="2"/>
  <c r="F52" i="2" s="1"/>
  <c r="D52" i="2"/>
  <c r="E52" i="2"/>
  <c r="C53" i="2"/>
  <c r="D53" i="2"/>
  <c r="E53" i="2"/>
  <c r="F53" i="2"/>
  <c r="C54" i="2"/>
  <c r="D54" i="2"/>
  <c r="E54" i="2"/>
  <c r="F54" i="2"/>
  <c r="C55" i="2"/>
  <c r="E55" i="2" s="1"/>
  <c r="D55" i="2"/>
  <c r="F55" i="2"/>
  <c r="C56" i="2"/>
  <c r="E56" i="2" s="1"/>
  <c r="D56" i="2"/>
  <c r="C57" i="2"/>
  <c r="E57" i="2" s="1"/>
  <c r="D57" i="2"/>
  <c r="F57" i="2"/>
  <c r="C58" i="2"/>
  <c r="F58" i="2" s="1"/>
  <c r="D58" i="2"/>
  <c r="E58" i="2"/>
  <c r="C59" i="2"/>
  <c r="D59" i="2"/>
  <c r="E59" i="2"/>
  <c r="F59" i="2"/>
  <c r="C60" i="2"/>
  <c r="D60" i="2"/>
  <c r="E60" i="2"/>
  <c r="F60" i="2"/>
  <c r="C61" i="2"/>
  <c r="E61" i="2" s="1"/>
  <c r="D61" i="2"/>
  <c r="F61" i="2"/>
  <c r="C62" i="2"/>
  <c r="D62" i="2"/>
  <c r="E62" i="2"/>
  <c r="F62" i="2"/>
  <c r="C63" i="2"/>
  <c r="F63" i="2" s="1"/>
  <c r="D63" i="2"/>
  <c r="E63" i="2"/>
  <c r="C64" i="2"/>
  <c r="F64" i="2" s="1"/>
  <c r="D64" i="2"/>
  <c r="E64" i="2"/>
  <c r="C65" i="2"/>
  <c r="D65" i="2"/>
  <c r="E65" i="2"/>
  <c r="F65" i="2"/>
  <c r="C66" i="2"/>
  <c r="E66" i="2" s="1"/>
  <c r="D66" i="2"/>
  <c r="C67" i="2"/>
  <c r="E67" i="2" s="1"/>
  <c r="D67" i="2"/>
  <c r="F67" i="2"/>
  <c r="C68" i="2"/>
  <c r="E68" i="2" s="1"/>
  <c r="D68" i="2"/>
  <c r="F68" i="2"/>
  <c r="C69" i="2"/>
  <c r="E69" i="2" s="1"/>
  <c r="D69" i="2"/>
  <c r="C70" i="2"/>
  <c r="F70" i="2" s="1"/>
  <c r="D70" i="2"/>
  <c r="E70" i="2"/>
  <c r="C71" i="2"/>
  <c r="D71" i="2"/>
  <c r="E71" i="2"/>
  <c r="F71" i="2"/>
  <c r="C72" i="2"/>
  <c r="D72" i="2"/>
  <c r="E72" i="2"/>
  <c r="F72" i="2"/>
  <c r="C73" i="2"/>
  <c r="E73" i="2" s="1"/>
  <c r="D73" i="2"/>
  <c r="F73" i="2"/>
  <c r="C74" i="2"/>
  <c r="D74" i="2"/>
  <c r="E74" i="2"/>
  <c r="F74" i="2"/>
  <c r="C75" i="2"/>
  <c r="D75" i="2"/>
  <c r="E75" i="2"/>
  <c r="F75" i="2"/>
  <c r="C76" i="2"/>
  <c r="F76" i="2" s="1"/>
  <c r="D76" i="2"/>
  <c r="E76" i="2"/>
  <c r="C77" i="2"/>
  <c r="D77" i="2"/>
  <c r="E77" i="2"/>
  <c r="F77" i="2"/>
  <c r="C78" i="2"/>
  <c r="D78" i="2"/>
  <c r="E78" i="2"/>
  <c r="F78" i="2"/>
  <c r="C79" i="2"/>
  <c r="E79" i="2" s="1"/>
  <c r="D79" i="2"/>
  <c r="C80" i="2"/>
  <c r="D80" i="2"/>
  <c r="E80" i="2"/>
  <c r="F80" i="2"/>
  <c r="C81" i="2"/>
  <c r="D81" i="2"/>
  <c r="E81" i="2" s="1"/>
  <c r="F81" i="2"/>
  <c r="C82" i="2"/>
  <c r="F82" i="2" s="1"/>
  <c r="D82" i="2"/>
  <c r="E82" i="2"/>
  <c r="C83" i="2"/>
  <c r="D83" i="2"/>
  <c r="E83" i="2"/>
  <c r="F83" i="2"/>
  <c r="C84" i="2"/>
  <c r="D84" i="2"/>
  <c r="E84" i="2"/>
  <c r="F84" i="2"/>
  <c r="C85" i="2"/>
  <c r="E85" i="2" s="1"/>
  <c r="D85" i="2"/>
  <c r="F85" i="2"/>
  <c r="C86" i="2"/>
  <c r="E86" i="2" s="1"/>
  <c r="D86" i="2"/>
  <c r="C87" i="2"/>
  <c r="D87" i="2"/>
  <c r="E87" i="2"/>
  <c r="F87" i="2"/>
  <c r="C88" i="2"/>
  <c r="E88" i="2" s="1"/>
  <c r="D88" i="2"/>
  <c r="C89" i="2"/>
  <c r="D89" i="2"/>
  <c r="E89" i="2"/>
  <c r="F89" i="2"/>
  <c r="C90" i="2"/>
  <c r="E90" i="2" s="1"/>
  <c r="D90" i="2"/>
  <c r="F90" i="2"/>
  <c r="C91" i="2"/>
  <c r="E91" i="2" s="1"/>
  <c r="D91" i="2"/>
  <c r="F91" i="2"/>
  <c r="C92" i="2"/>
  <c r="D92" i="2"/>
  <c r="E92" i="2"/>
  <c r="F92" i="2"/>
  <c r="C93" i="2"/>
  <c r="D93" i="2"/>
  <c r="E93" i="2"/>
  <c r="F93" i="2"/>
  <c r="C94" i="2"/>
  <c r="E94" i="2" s="1"/>
  <c r="D94" i="2"/>
  <c r="C95" i="2"/>
  <c r="D95" i="2"/>
  <c r="E95" i="2"/>
  <c r="F95" i="2"/>
  <c r="C96" i="2"/>
  <c r="E96" i="2" s="1"/>
  <c r="D96" i="2"/>
  <c r="C97" i="2"/>
  <c r="E97" i="2" s="1"/>
  <c r="D97" i="2"/>
  <c r="F97" i="2"/>
  <c r="C98" i="2"/>
  <c r="D98" i="2"/>
  <c r="E98" i="2"/>
  <c r="F98" i="2"/>
  <c r="C99" i="2"/>
  <c r="F99" i="2" s="1"/>
  <c r="D99" i="2"/>
  <c r="E99" i="2"/>
  <c r="C100" i="2"/>
  <c r="E100" i="2" s="1"/>
  <c r="D100" i="2"/>
  <c r="C101" i="2"/>
  <c r="D101" i="2"/>
  <c r="E101" i="2"/>
  <c r="F101" i="2"/>
  <c r="C102" i="2"/>
  <c r="D102" i="2"/>
  <c r="E102" i="2"/>
  <c r="F102" i="2"/>
  <c r="C103" i="2"/>
  <c r="E103" i="2" s="1"/>
  <c r="D103" i="2"/>
  <c r="F103" i="2"/>
  <c r="C104" i="2"/>
  <c r="D104" i="2"/>
  <c r="E104" i="2"/>
  <c r="F104" i="2"/>
  <c r="C105" i="2"/>
  <c r="D105" i="2"/>
  <c r="E105" i="2"/>
  <c r="F105" i="2"/>
  <c r="C106" i="2"/>
  <c r="E106" i="2" s="1"/>
  <c r="D106" i="2"/>
  <c r="C107" i="2"/>
  <c r="D107" i="2"/>
  <c r="E107" i="2"/>
  <c r="F107" i="2"/>
  <c r="C108" i="2"/>
  <c r="D108" i="2"/>
  <c r="E108" i="2"/>
  <c r="F108" i="2"/>
  <c r="C109" i="2"/>
  <c r="E109" i="2" s="1"/>
  <c r="D109" i="2"/>
  <c r="F109" i="2"/>
  <c r="C110" i="2"/>
  <c r="F110" i="2" s="1"/>
  <c r="D110" i="2"/>
  <c r="E110" i="2"/>
  <c r="C111" i="2"/>
  <c r="D111" i="2"/>
  <c r="E111" i="2"/>
  <c r="F111" i="2"/>
  <c r="C112" i="2"/>
  <c r="E112" i="2" s="1"/>
  <c r="D112" i="2"/>
  <c r="C113" i="2"/>
  <c r="D113" i="2"/>
  <c r="E113" i="2"/>
  <c r="F113" i="2"/>
  <c r="C114" i="2"/>
  <c r="D114" i="2"/>
  <c r="E114" i="2"/>
  <c r="F114" i="2"/>
  <c r="C115" i="2"/>
  <c r="E115" i="2" s="1"/>
  <c r="D115" i="2"/>
  <c r="C116" i="2"/>
  <c r="F116" i="2" s="1"/>
  <c r="D116" i="2"/>
  <c r="E116" i="2"/>
  <c r="C117" i="2"/>
  <c r="E117" i="2" s="1"/>
  <c r="D117" i="2"/>
  <c r="F117" i="2" s="1"/>
  <c r="C118" i="2"/>
  <c r="E118" i="2" s="1"/>
  <c r="D118" i="2"/>
  <c r="C119" i="2"/>
  <c r="D119" i="2"/>
  <c r="E119" i="2"/>
  <c r="F119" i="2"/>
  <c r="C120" i="2"/>
  <c r="E120" i="2" s="1"/>
  <c r="D120" i="2"/>
  <c r="C121" i="2"/>
  <c r="E121" i="2" s="1"/>
  <c r="D121" i="2"/>
  <c r="F121" i="2"/>
  <c r="C122" i="2"/>
  <c r="D122" i="2"/>
  <c r="E122" i="2" s="1"/>
  <c r="F122" i="2"/>
  <c r="C123" i="2"/>
  <c r="E123" i="2" s="1"/>
  <c r="D123" i="2"/>
  <c r="C124" i="2"/>
  <c r="E124" i="2" s="1"/>
  <c r="D124" i="2"/>
  <c r="C125" i="2"/>
  <c r="D125" i="2"/>
  <c r="E125" i="2"/>
  <c r="F125" i="2"/>
  <c r="C126" i="2"/>
  <c r="D126" i="2"/>
  <c r="E126" i="2"/>
  <c r="F126" i="2"/>
  <c r="C127" i="2"/>
  <c r="E127" i="2" s="1"/>
  <c r="D127" i="2"/>
  <c r="C128" i="2"/>
  <c r="D128" i="2"/>
  <c r="E128" i="2"/>
  <c r="F128" i="2"/>
  <c r="C129" i="2"/>
  <c r="D129" i="2"/>
  <c r="E129" i="2"/>
  <c r="F129" i="2"/>
  <c r="C130" i="2"/>
  <c r="E130" i="2" s="1"/>
  <c r="D130" i="2"/>
  <c r="C131" i="2"/>
  <c r="D131" i="2"/>
  <c r="E131" i="2"/>
  <c r="F131" i="2"/>
  <c r="C132" i="2"/>
  <c r="D132" i="2"/>
  <c r="E132" i="2"/>
  <c r="F132" i="2"/>
  <c r="C133" i="2"/>
  <c r="E133" i="2" s="1"/>
  <c r="D133" i="2"/>
  <c r="F133" i="2"/>
  <c r="C134" i="2"/>
  <c r="E134" i="2" s="1"/>
  <c r="D134" i="2"/>
  <c r="C135" i="2"/>
  <c r="D135" i="2"/>
  <c r="E135" i="2"/>
  <c r="F135" i="2"/>
  <c r="C136" i="2"/>
  <c r="E136" i="2" s="1"/>
  <c r="D136" i="2"/>
  <c r="C137" i="2"/>
  <c r="D137" i="2"/>
  <c r="E137" i="2"/>
  <c r="F137" i="2"/>
  <c r="C138" i="2"/>
  <c r="E138" i="2" s="1"/>
  <c r="D138" i="2"/>
  <c r="F138" i="2"/>
  <c r="C139" i="2"/>
  <c r="E139" i="2" s="1"/>
  <c r="D139" i="2"/>
  <c r="F139" i="2"/>
  <c r="C140" i="2"/>
  <c r="D140" i="2"/>
  <c r="E140" i="2"/>
  <c r="F140" i="2"/>
  <c r="C141" i="2"/>
  <c r="D141" i="2"/>
  <c r="E141" i="2"/>
  <c r="F141" i="2"/>
  <c r="C142" i="2"/>
  <c r="E142" i="2" s="1"/>
  <c r="D142" i="2"/>
  <c r="C143" i="2"/>
  <c r="D143" i="2"/>
  <c r="E143" i="2"/>
  <c r="F143" i="2"/>
  <c r="C144" i="2"/>
  <c r="E144" i="2" s="1"/>
  <c r="D144" i="2"/>
  <c r="C145" i="2"/>
  <c r="E145" i="2" s="1"/>
  <c r="D145" i="2"/>
  <c r="F145" i="2"/>
  <c r="C146" i="2"/>
  <c r="D146" i="2"/>
  <c r="E146" i="2"/>
  <c r="F146" i="2"/>
  <c r="C147" i="2"/>
  <c r="F147" i="2" s="1"/>
  <c r="D147" i="2"/>
  <c r="E147" i="2"/>
  <c r="C148" i="2"/>
  <c r="E148" i="2" s="1"/>
  <c r="D148" i="2"/>
  <c r="C149" i="2"/>
  <c r="D149" i="2"/>
  <c r="E149" i="2"/>
  <c r="F149" i="2"/>
  <c r="C150" i="2"/>
  <c r="D150" i="2"/>
  <c r="E150" i="2"/>
  <c r="F150" i="2"/>
  <c r="C151" i="2"/>
  <c r="E151" i="2" s="1"/>
  <c r="D151" i="2"/>
  <c r="F151" i="2"/>
  <c r="C152" i="2"/>
  <c r="D152" i="2"/>
  <c r="E152" i="2"/>
  <c r="F152" i="2"/>
  <c r="C153" i="2"/>
  <c r="D153" i="2"/>
  <c r="E153" i="2"/>
  <c r="F153" i="2"/>
  <c r="C154" i="2"/>
  <c r="E154" i="2" s="1"/>
  <c r="D154" i="2"/>
  <c r="C155" i="2"/>
  <c r="D155" i="2"/>
  <c r="E155" i="2"/>
  <c r="F155" i="2"/>
  <c r="C156" i="2"/>
  <c r="D156" i="2"/>
  <c r="E156" i="2"/>
  <c r="F156" i="2"/>
  <c r="C157" i="2"/>
  <c r="E157" i="2" s="1"/>
  <c r="D157" i="2"/>
  <c r="F157" i="2"/>
  <c r="C158" i="2"/>
  <c r="F158" i="2" s="1"/>
  <c r="D158" i="2"/>
  <c r="E158" i="2"/>
  <c r="C159" i="2"/>
  <c r="D159" i="2"/>
  <c r="E159" i="2"/>
  <c r="F159" i="2"/>
  <c r="C160" i="2"/>
  <c r="E160" i="2" s="1"/>
  <c r="D160" i="2"/>
  <c r="C161" i="2"/>
  <c r="D161" i="2"/>
  <c r="E161" i="2"/>
  <c r="F161" i="2"/>
  <c r="C162" i="2"/>
  <c r="D162" i="2"/>
  <c r="E162" i="2"/>
  <c r="F162" i="2"/>
  <c r="C163" i="2"/>
  <c r="E163" i="2" s="1"/>
  <c r="D163" i="2"/>
  <c r="F163" i="2"/>
  <c r="C164" i="2"/>
  <c r="F164" i="2" s="1"/>
  <c r="D164" i="2"/>
  <c r="E164" i="2"/>
  <c r="C165" i="2"/>
  <c r="E165" i="2" s="1"/>
  <c r="D165" i="2"/>
  <c r="F165" i="2" s="1"/>
  <c r="C166" i="2"/>
  <c r="E166" i="2" s="1"/>
  <c r="D166" i="2"/>
  <c r="C167" i="2"/>
  <c r="D167" i="2"/>
  <c r="E167" i="2"/>
  <c r="F167" i="2"/>
  <c r="C168" i="2"/>
  <c r="E168" i="2" s="1"/>
  <c r="D168" i="2"/>
  <c r="C169" i="2"/>
  <c r="E169" i="2" s="1"/>
  <c r="D169" i="2"/>
  <c r="F169" i="2"/>
  <c r="C170" i="2"/>
  <c r="D170" i="2"/>
  <c r="E170" i="2" s="1"/>
  <c r="F170" i="2"/>
  <c r="C171" i="2"/>
  <c r="E171" i="2" s="1"/>
  <c r="D171" i="2"/>
  <c r="C172" i="2"/>
  <c r="E172" i="2" s="1"/>
  <c r="D172" i="2"/>
  <c r="C173" i="2"/>
  <c r="D173" i="2"/>
  <c r="E173" i="2"/>
  <c r="F173" i="2"/>
  <c r="C174" i="2"/>
  <c r="D174" i="2"/>
  <c r="E174" i="2"/>
  <c r="F174" i="2"/>
  <c r="C175" i="2"/>
  <c r="E175" i="2" s="1"/>
  <c r="D175" i="2"/>
  <c r="C176" i="2"/>
  <c r="D176" i="2"/>
  <c r="E176" i="2"/>
  <c r="F176" i="2"/>
  <c r="C177" i="2"/>
  <c r="D177" i="2"/>
  <c r="E177" i="2"/>
  <c r="F177" i="2"/>
  <c r="C178" i="2"/>
  <c r="E178" i="2" s="1"/>
  <c r="D178" i="2"/>
  <c r="C179" i="2"/>
  <c r="D179" i="2"/>
  <c r="E179" i="2"/>
  <c r="F179" i="2"/>
  <c r="C180" i="2"/>
  <c r="D180" i="2"/>
  <c r="E180" i="2"/>
  <c r="F180" i="2"/>
  <c r="C181" i="2"/>
  <c r="E181" i="2" s="1"/>
  <c r="D181" i="2"/>
  <c r="F181" i="2"/>
  <c r="C182" i="2"/>
  <c r="E182" i="2" s="1"/>
  <c r="D182" i="2"/>
  <c r="C183" i="2"/>
  <c r="D183" i="2"/>
  <c r="E183" i="2"/>
  <c r="F183" i="2"/>
  <c r="C184" i="2"/>
  <c r="E184" i="2" s="1"/>
  <c r="D184" i="2"/>
  <c r="C185" i="2"/>
  <c r="D185" i="2"/>
  <c r="E185" i="2"/>
  <c r="F185" i="2"/>
  <c r="C186" i="2"/>
  <c r="E186" i="2" s="1"/>
  <c r="D186" i="2"/>
  <c r="F186" i="2"/>
  <c r="C187" i="2"/>
  <c r="E187" i="2" s="1"/>
  <c r="D187" i="2"/>
  <c r="F187" i="2"/>
  <c r="C188" i="2"/>
  <c r="D188" i="2"/>
  <c r="E188" i="2"/>
  <c r="F188" i="2"/>
  <c r="C189" i="2"/>
  <c r="D189" i="2"/>
  <c r="E189" i="2"/>
  <c r="F189" i="2"/>
  <c r="C190" i="2"/>
  <c r="E190" i="2" s="1"/>
  <c r="D190" i="2"/>
  <c r="C191" i="2"/>
  <c r="D191" i="2"/>
  <c r="E191" i="2"/>
  <c r="F191" i="2"/>
  <c r="C192" i="2"/>
  <c r="E192" i="2" s="1"/>
  <c r="D192" i="2"/>
  <c r="C193" i="2"/>
  <c r="E193" i="2" s="1"/>
  <c r="D193" i="2"/>
  <c r="F193" i="2"/>
  <c r="C194" i="2"/>
  <c r="D194" i="2"/>
  <c r="E194" i="2"/>
  <c r="F194" i="2"/>
  <c r="C195" i="2"/>
  <c r="F195" i="2" s="1"/>
  <c r="D195" i="2"/>
  <c r="E195" i="2"/>
  <c r="C196" i="2"/>
  <c r="E196" i="2" s="1"/>
  <c r="D196" i="2"/>
  <c r="C197" i="2"/>
  <c r="D197" i="2"/>
  <c r="E197" i="2"/>
  <c r="F197" i="2"/>
  <c r="C198" i="2"/>
  <c r="D198" i="2"/>
  <c r="E198" i="2"/>
  <c r="F198" i="2"/>
  <c r="C199" i="2"/>
  <c r="E199" i="2" s="1"/>
  <c r="D199" i="2"/>
  <c r="F199" i="2"/>
  <c r="C200" i="2"/>
  <c r="D200" i="2"/>
  <c r="E200" i="2"/>
  <c r="F200" i="2"/>
  <c r="C201" i="2"/>
  <c r="D201" i="2"/>
  <c r="E201" i="2"/>
  <c r="F201" i="2"/>
  <c r="C202" i="2"/>
  <c r="E202" i="2" s="1"/>
  <c r="D202" i="2"/>
  <c r="C203" i="2"/>
  <c r="D203" i="2"/>
  <c r="E203" i="2"/>
  <c r="F203" i="2"/>
  <c r="C204" i="2"/>
  <c r="D204" i="2"/>
  <c r="E204" i="2"/>
  <c r="F204" i="2"/>
  <c r="C205" i="2"/>
  <c r="E205" i="2" s="1"/>
  <c r="D205" i="2"/>
  <c r="F205" i="2"/>
  <c r="C206" i="2"/>
  <c r="F206" i="2" s="1"/>
  <c r="D206" i="2"/>
  <c r="E206" i="2"/>
  <c r="C207" i="2"/>
  <c r="D207" i="2"/>
  <c r="E207" i="2"/>
  <c r="F207" i="2"/>
  <c r="C208" i="2"/>
  <c r="E208" i="2" s="1"/>
  <c r="D208" i="2"/>
  <c r="C209" i="2"/>
  <c r="D209" i="2"/>
  <c r="E209" i="2"/>
  <c r="F209" i="2"/>
  <c r="C210" i="2"/>
  <c r="D210" i="2"/>
  <c r="E210" i="2"/>
  <c r="F210" i="2"/>
  <c r="C211" i="2"/>
  <c r="E211" i="2" s="1"/>
  <c r="D211" i="2"/>
  <c r="F211" i="2"/>
  <c r="C212" i="2"/>
  <c r="F212" i="2" s="1"/>
  <c r="D212" i="2"/>
  <c r="E212" i="2"/>
  <c r="C213" i="2"/>
  <c r="E213" i="2" s="1"/>
  <c r="D213" i="2"/>
  <c r="F213" i="2" s="1"/>
  <c r="C214" i="2"/>
  <c r="E214" i="2" s="1"/>
  <c r="D214" i="2"/>
  <c r="C215" i="2"/>
  <c r="D215" i="2"/>
  <c r="E215" i="2"/>
  <c r="F215" i="2"/>
  <c r="C216" i="2"/>
  <c r="E216" i="2" s="1"/>
  <c r="D216" i="2"/>
  <c r="C217" i="2"/>
  <c r="E217" i="2" s="1"/>
  <c r="D217" i="2"/>
  <c r="F217" i="2"/>
  <c r="C218" i="2"/>
  <c r="D218" i="2"/>
  <c r="E218" i="2" s="1"/>
  <c r="F218" i="2"/>
  <c r="C219" i="2"/>
  <c r="E219" i="2" s="1"/>
  <c r="D219" i="2"/>
  <c r="C220" i="2"/>
  <c r="E220" i="2" s="1"/>
  <c r="D220" i="2"/>
  <c r="C221" i="2"/>
  <c r="D221" i="2"/>
  <c r="E221" i="2"/>
  <c r="F221" i="2"/>
  <c r="C222" i="2"/>
  <c r="D222" i="2"/>
  <c r="E222" i="2"/>
  <c r="F222" i="2"/>
  <c r="C223" i="2"/>
  <c r="E223" i="2" s="1"/>
  <c r="D223" i="2"/>
  <c r="C224" i="2"/>
  <c r="D224" i="2"/>
  <c r="E224" i="2"/>
  <c r="F224" i="2"/>
  <c r="C225" i="2"/>
  <c r="D225" i="2"/>
  <c r="E225" i="2"/>
  <c r="F225" i="2"/>
  <c r="C226" i="2"/>
  <c r="E226" i="2" s="1"/>
  <c r="D226" i="2"/>
  <c r="C227" i="2"/>
  <c r="D227" i="2"/>
  <c r="E227" i="2"/>
  <c r="F227" i="2"/>
  <c r="C228" i="2"/>
  <c r="D228" i="2"/>
  <c r="E228" i="2"/>
  <c r="F228" i="2"/>
  <c r="C229" i="2"/>
  <c r="E229" i="2" s="1"/>
  <c r="D229" i="2"/>
  <c r="F229" i="2"/>
  <c r="C230" i="2"/>
  <c r="E230" i="2" s="1"/>
  <c r="D230" i="2"/>
  <c r="C231" i="2"/>
  <c r="D231" i="2"/>
  <c r="E231" i="2"/>
  <c r="F231" i="2"/>
  <c r="C232" i="2"/>
  <c r="E232" i="2" s="1"/>
  <c r="D232" i="2"/>
  <c r="C233" i="2"/>
  <c r="D233" i="2"/>
  <c r="E233" i="2"/>
  <c r="F233" i="2"/>
  <c r="C234" i="2"/>
  <c r="E234" i="2" s="1"/>
  <c r="D234" i="2"/>
  <c r="F234" i="2"/>
  <c r="C235" i="2"/>
  <c r="E235" i="2" s="1"/>
  <c r="D235" i="2"/>
  <c r="F235" i="2"/>
  <c r="C236" i="2"/>
  <c r="D236" i="2"/>
  <c r="E236" i="2"/>
  <c r="F236" i="2"/>
  <c r="C237" i="2"/>
  <c r="D237" i="2"/>
  <c r="E237" i="2"/>
  <c r="F237" i="2"/>
  <c r="C238" i="2"/>
  <c r="E238" i="2" s="1"/>
  <c r="D238" i="2"/>
  <c r="C239" i="2"/>
  <c r="D239" i="2"/>
  <c r="E239" i="2"/>
  <c r="F239" i="2"/>
  <c r="C240" i="2"/>
  <c r="F240" i="2" s="1"/>
  <c r="D240" i="2"/>
  <c r="C241" i="2"/>
  <c r="E241" i="2" s="1"/>
  <c r="D241" i="2"/>
  <c r="F241" i="2"/>
  <c r="C242" i="2"/>
  <c r="D242" i="2"/>
  <c r="E242" i="2"/>
  <c r="F242" i="2"/>
  <c r="C243" i="2"/>
  <c r="F243" i="2" s="1"/>
  <c r="D243" i="2"/>
  <c r="E243" i="2"/>
  <c r="C244" i="2"/>
  <c r="E244" i="2" s="1"/>
  <c r="D244" i="2"/>
  <c r="C245" i="2"/>
  <c r="D245" i="2"/>
  <c r="E245" i="2"/>
  <c r="F245" i="2"/>
  <c r="C246" i="2"/>
  <c r="D246" i="2"/>
  <c r="E246" i="2"/>
  <c r="F246" i="2"/>
  <c r="C247" i="2"/>
  <c r="E247" i="2" s="1"/>
  <c r="D247" i="2"/>
  <c r="F247" i="2"/>
  <c r="C248" i="2"/>
  <c r="D248" i="2"/>
  <c r="E248" i="2"/>
  <c r="F248" i="2"/>
  <c r="C249" i="2"/>
  <c r="D249" i="2"/>
  <c r="E249" i="2"/>
  <c r="F249" i="2"/>
  <c r="C250" i="2"/>
  <c r="E250" i="2" s="1"/>
  <c r="D250" i="2"/>
  <c r="C251" i="2"/>
  <c r="D251" i="2"/>
  <c r="E251" i="2"/>
  <c r="F251" i="2"/>
  <c r="C252" i="2"/>
  <c r="D252" i="2"/>
  <c r="E252" i="2"/>
  <c r="F252" i="2"/>
  <c r="C253" i="2"/>
  <c r="E253" i="2" s="1"/>
  <c r="D253" i="2"/>
  <c r="F253" i="2"/>
  <c r="C254" i="2"/>
  <c r="F254" i="2" s="1"/>
  <c r="D254" i="2"/>
  <c r="E254" i="2"/>
  <c r="C255" i="2"/>
  <c r="D255" i="2"/>
  <c r="E255" i="2"/>
  <c r="F255" i="2"/>
  <c r="C256" i="2"/>
  <c r="E256" i="2" s="1"/>
  <c r="D256" i="2"/>
  <c r="C257" i="2"/>
  <c r="D257" i="2"/>
  <c r="E257" i="2"/>
  <c r="F257" i="2"/>
  <c r="C258" i="2"/>
  <c r="D258" i="2"/>
  <c r="E258" i="2"/>
  <c r="F258" i="2"/>
  <c r="C259" i="2"/>
  <c r="E259" i="2" s="1"/>
  <c r="D259" i="2"/>
  <c r="F259" i="2"/>
  <c r="C260" i="2"/>
  <c r="F260" i="2" s="1"/>
  <c r="D260" i="2"/>
  <c r="E260" i="2"/>
  <c r="C261" i="2"/>
  <c r="E261" i="2" s="1"/>
  <c r="D261" i="2"/>
  <c r="F261" i="2" s="1"/>
  <c r="C262" i="2"/>
  <c r="E262" i="2" s="1"/>
  <c r="D262" i="2"/>
  <c r="C263" i="2"/>
  <c r="D263" i="2"/>
  <c r="E263" i="2"/>
  <c r="F263" i="2"/>
  <c r="C264" i="2"/>
  <c r="E264" i="2" s="1"/>
  <c r="D264" i="2"/>
  <c r="C265" i="2"/>
  <c r="E265" i="2" s="1"/>
  <c r="D265" i="2"/>
  <c r="F265" i="2"/>
  <c r="C266" i="2"/>
  <c r="D266" i="2"/>
  <c r="E266" i="2" s="1"/>
  <c r="F266" i="2"/>
  <c r="C267" i="2"/>
  <c r="E267" i="2" s="1"/>
  <c r="D267" i="2"/>
  <c r="C268" i="2"/>
  <c r="E268" i="2" s="1"/>
  <c r="D268" i="2"/>
  <c r="C269" i="2"/>
  <c r="D269" i="2"/>
  <c r="E269" i="2"/>
  <c r="F269" i="2"/>
  <c r="C270" i="2"/>
  <c r="D270" i="2"/>
  <c r="E270" i="2"/>
  <c r="F270" i="2"/>
  <c r="C271" i="2"/>
  <c r="E271" i="2" s="1"/>
  <c r="D271" i="2"/>
  <c r="C272" i="2"/>
  <c r="D272" i="2"/>
  <c r="E272" i="2"/>
  <c r="F272" i="2"/>
  <c r="C273" i="2"/>
  <c r="D273" i="2"/>
  <c r="E273" i="2"/>
  <c r="F273" i="2"/>
  <c r="C274" i="2"/>
  <c r="E274" i="2" s="1"/>
  <c r="D274" i="2"/>
  <c r="C275" i="2"/>
  <c r="D275" i="2"/>
  <c r="E275" i="2"/>
  <c r="F275" i="2"/>
  <c r="C276" i="2"/>
  <c r="D276" i="2"/>
  <c r="E276" i="2"/>
  <c r="F276" i="2"/>
  <c r="C277" i="2"/>
  <c r="E277" i="2" s="1"/>
  <c r="D277" i="2"/>
  <c r="F277" i="2"/>
  <c r="C278" i="2"/>
  <c r="E278" i="2" s="1"/>
  <c r="D278" i="2"/>
  <c r="C279" i="2"/>
  <c r="D279" i="2"/>
  <c r="E279" i="2"/>
  <c r="F279" i="2"/>
  <c r="C280" i="2"/>
  <c r="E280" i="2" s="1"/>
  <c r="D280" i="2"/>
  <c r="C281" i="2"/>
  <c r="D281" i="2"/>
  <c r="E281" i="2"/>
  <c r="F281" i="2"/>
  <c r="C282" i="2"/>
  <c r="E282" i="2" s="1"/>
  <c r="D282" i="2"/>
  <c r="F282" i="2"/>
  <c r="C283" i="2"/>
  <c r="E283" i="2" s="1"/>
  <c r="D283" i="2"/>
  <c r="F283" i="2"/>
  <c r="C284" i="2"/>
  <c r="D284" i="2"/>
  <c r="E284" i="2"/>
  <c r="F284" i="2"/>
  <c r="C285" i="2"/>
  <c r="D285" i="2"/>
  <c r="E285" i="2"/>
  <c r="F285" i="2"/>
  <c r="C286" i="2"/>
  <c r="E286" i="2" s="1"/>
  <c r="D286" i="2"/>
  <c r="C287" i="2"/>
  <c r="D287" i="2"/>
  <c r="E287" i="2"/>
  <c r="F287" i="2"/>
  <c r="C288" i="2"/>
  <c r="E288" i="2" s="1"/>
  <c r="D288" i="2"/>
  <c r="C289" i="2"/>
  <c r="E289" i="2" s="1"/>
  <c r="D289" i="2"/>
  <c r="F289" i="2"/>
  <c r="C290" i="2"/>
  <c r="D290" i="2"/>
  <c r="E290" i="2"/>
  <c r="F290" i="2"/>
  <c r="C291" i="2"/>
  <c r="F291" i="2" s="1"/>
  <c r="D291" i="2"/>
  <c r="E291" i="2"/>
  <c r="C292" i="2"/>
  <c r="E292" i="2" s="1"/>
  <c r="D292" i="2"/>
  <c r="C293" i="2"/>
  <c r="D293" i="2"/>
  <c r="E293" i="2"/>
  <c r="F293" i="2"/>
  <c r="C294" i="2"/>
  <c r="D294" i="2"/>
  <c r="E294" i="2"/>
  <c r="F294" i="2"/>
  <c r="C295" i="2"/>
  <c r="E295" i="2" s="1"/>
  <c r="D295" i="2"/>
  <c r="F295" i="2"/>
  <c r="C296" i="2"/>
  <c r="D296" i="2"/>
  <c r="E296" i="2"/>
  <c r="F296" i="2"/>
  <c r="C297" i="2"/>
  <c r="D297" i="2"/>
  <c r="E297" i="2"/>
  <c r="F297" i="2"/>
  <c r="C298" i="2"/>
  <c r="E298" i="2" s="1"/>
  <c r="D298" i="2"/>
  <c r="C299" i="2"/>
  <c r="D299" i="2"/>
  <c r="E299" i="2"/>
  <c r="F299" i="2"/>
  <c r="C300" i="2"/>
  <c r="D300" i="2"/>
  <c r="E300" i="2"/>
  <c r="F300" i="2"/>
  <c r="C301" i="2"/>
  <c r="E301" i="2" s="1"/>
  <c r="D301" i="2"/>
  <c r="F301" i="2"/>
  <c r="C302" i="2"/>
  <c r="F302" i="2" s="1"/>
  <c r="D302" i="2"/>
  <c r="E302" i="2"/>
  <c r="C303" i="2"/>
  <c r="D303" i="2"/>
  <c r="E303" i="2"/>
  <c r="F303" i="2"/>
  <c r="C304" i="2"/>
  <c r="E304" i="2" s="1"/>
  <c r="D304" i="2"/>
  <c r="C305" i="2"/>
  <c r="D305" i="2"/>
  <c r="E305" i="2"/>
  <c r="F305" i="2"/>
  <c r="C306" i="2"/>
  <c r="D306" i="2"/>
  <c r="E306" i="2"/>
  <c r="F306" i="2"/>
  <c r="C307" i="2"/>
  <c r="E307" i="2" s="1"/>
  <c r="D307" i="2"/>
  <c r="F307" i="2"/>
  <c r="C308" i="2"/>
  <c r="F308" i="2" s="1"/>
  <c r="D308" i="2"/>
  <c r="E308" i="2"/>
  <c r="C309" i="2"/>
  <c r="E309" i="2" s="1"/>
  <c r="D309" i="2"/>
  <c r="F309" i="2" s="1"/>
  <c r="C310" i="2"/>
  <c r="E310" i="2" s="1"/>
  <c r="D310" i="2"/>
  <c r="C311" i="2"/>
  <c r="D311" i="2"/>
  <c r="E311" i="2"/>
  <c r="F311" i="2"/>
  <c r="C312" i="2"/>
  <c r="E312" i="2" s="1"/>
  <c r="D312" i="2"/>
  <c r="C313" i="2"/>
  <c r="E313" i="2" s="1"/>
  <c r="D313" i="2"/>
  <c r="F313" i="2"/>
  <c r="C314" i="2"/>
  <c r="D314" i="2"/>
  <c r="E314" i="2" s="1"/>
  <c r="F314" i="2"/>
  <c r="C315" i="2"/>
  <c r="E315" i="2" s="1"/>
  <c r="D315" i="2"/>
  <c r="C316" i="2"/>
  <c r="E316" i="2" s="1"/>
  <c r="D316" i="2"/>
  <c r="C317" i="2"/>
  <c r="D317" i="2"/>
  <c r="E317" i="2"/>
  <c r="F317" i="2"/>
  <c r="C318" i="2"/>
  <c r="D318" i="2"/>
  <c r="E318" i="2"/>
  <c r="F318" i="2"/>
  <c r="C319" i="2"/>
  <c r="E319" i="2" s="1"/>
  <c r="D319" i="2"/>
  <c r="C320" i="2"/>
  <c r="D320" i="2"/>
  <c r="E320" i="2"/>
  <c r="F320" i="2"/>
  <c r="C321" i="2"/>
  <c r="D321" i="2"/>
  <c r="E321" i="2"/>
  <c r="F321" i="2"/>
  <c r="C322" i="2"/>
  <c r="E322" i="2" s="1"/>
  <c r="D322" i="2"/>
  <c r="C323" i="2"/>
  <c r="D323" i="2"/>
  <c r="E323" i="2"/>
  <c r="F323" i="2"/>
  <c r="C324" i="2"/>
  <c r="D324" i="2"/>
  <c r="E324" i="2"/>
  <c r="F324" i="2"/>
  <c r="C325" i="2"/>
  <c r="E325" i="2" s="1"/>
  <c r="D325" i="2"/>
  <c r="F325" i="2"/>
  <c r="C326" i="2"/>
  <c r="E326" i="2" s="1"/>
  <c r="D326" i="2"/>
  <c r="C327" i="2"/>
  <c r="D327" i="2"/>
  <c r="E327" i="2"/>
  <c r="F327" i="2"/>
  <c r="C328" i="2"/>
  <c r="E328" i="2" s="1"/>
  <c r="D328" i="2"/>
  <c r="C329" i="2"/>
  <c r="D329" i="2"/>
  <c r="E329" i="2"/>
  <c r="F329" i="2"/>
  <c r="C330" i="2"/>
  <c r="E330" i="2" s="1"/>
  <c r="D330" i="2"/>
  <c r="F330" i="2"/>
  <c r="C331" i="2"/>
  <c r="E331" i="2" s="1"/>
  <c r="D331" i="2"/>
  <c r="F331" i="2"/>
  <c r="C332" i="2"/>
  <c r="D332" i="2"/>
  <c r="E332" i="2"/>
  <c r="F332" i="2"/>
  <c r="C333" i="2"/>
  <c r="D333" i="2"/>
  <c r="E333" i="2"/>
  <c r="F333" i="2"/>
  <c r="C334" i="2"/>
  <c r="E334" i="2" s="1"/>
  <c r="D334" i="2"/>
  <c r="C335" i="2"/>
  <c r="D335" i="2"/>
  <c r="E335" i="2"/>
  <c r="F335" i="2"/>
  <c r="C336" i="2"/>
  <c r="E336" i="2" s="1"/>
  <c r="D336" i="2"/>
  <c r="C337" i="2"/>
  <c r="E337" i="2" s="1"/>
  <c r="D337" i="2"/>
  <c r="F337" i="2"/>
  <c r="C338" i="2"/>
  <c r="D338" i="2"/>
  <c r="E338" i="2"/>
  <c r="F338" i="2"/>
  <c r="C339" i="2"/>
  <c r="F339" i="2" s="1"/>
  <c r="D339" i="2"/>
  <c r="E339" i="2"/>
  <c r="C340" i="2"/>
  <c r="E340" i="2" s="1"/>
  <c r="D340" i="2"/>
  <c r="C341" i="2"/>
  <c r="D341" i="2"/>
  <c r="E341" i="2"/>
  <c r="F341" i="2"/>
  <c r="C342" i="2"/>
  <c r="D342" i="2"/>
  <c r="E342" i="2"/>
  <c r="F342" i="2"/>
  <c r="C343" i="2"/>
  <c r="E343" i="2" s="1"/>
  <c r="D343" i="2"/>
  <c r="F343" i="2"/>
  <c r="C344" i="2"/>
  <c r="D344" i="2"/>
  <c r="E344" i="2"/>
  <c r="F344" i="2"/>
  <c r="C345" i="2"/>
  <c r="D345" i="2"/>
  <c r="E345" i="2"/>
  <c r="F345" i="2"/>
  <c r="C346" i="2"/>
  <c r="E346" i="2" s="1"/>
  <c r="D346" i="2"/>
  <c r="C347" i="2"/>
  <c r="D347" i="2"/>
  <c r="E347" i="2"/>
  <c r="F347" i="2"/>
  <c r="C348" i="2"/>
  <c r="D348" i="2"/>
  <c r="E348" i="2"/>
  <c r="F348" i="2"/>
  <c r="C349" i="2"/>
  <c r="E349" i="2" s="1"/>
  <c r="D349" i="2"/>
  <c r="F349" i="2"/>
  <c r="C350" i="2"/>
  <c r="F350" i="2" s="1"/>
  <c r="D350" i="2"/>
  <c r="E350" i="2"/>
  <c r="C351" i="2"/>
  <c r="D351" i="2"/>
  <c r="E351" i="2"/>
  <c r="F351" i="2"/>
  <c r="C352" i="2"/>
  <c r="E352" i="2" s="1"/>
  <c r="D352" i="2"/>
  <c r="C353" i="2"/>
  <c r="D353" i="2"/>
  <c r="E353" i="2"/>
  <c r="F353" i="2"/>
  <c r="C354" i="2"/>
  <c r="D354" i="2"/>
  <c r="E354" i="2"/>
  <c r="F354" i="2"/>
  <c r="C355" i="2"/>
  <c r="E355" i="2" s="1"/>
  <c r="D355" i="2"/>
  <c r="F355" i="2"/>
  <c r="C356" i="2"/>
  <c r="F356" i="2" s="1"/>
  <c r="D356" i="2"/>
  <c r="E356" i="2"/>
  <c r="C357" i="2"/>
  <c r="E357" i="2" s="1"/>
  <c r="D357" i="2"/>
  <c r="F357" i="2" s="1"/>
  <c r="C358" i="2"/>
  <c r="E358" i="2" s="1"/>
  <c r="D358" i="2"/>
  <c r="C359" i="2"/>
  <c r="D359" i="2"/>
  <c r="E359" i="2"/>
  <c r="F359" i="2"/>
  <c r="C360" i="2"/>
  <c r="E360" i="2" s="1"/>
  <c r="D360" i="2"/>
  <c r="C361" i="2"/>
  <c r="E361" i="2" s="1"/>
  <c r="D361" i="2"/>
  <c r="F361" i="2"/>
  <c r="C362" i="2"/>
  <c r="D362" i="2"/>
  <c r="E362" i="2" s="1"/>
  <c r="F362" i="2"/>
  <c r="C363" i="2"/>
  <c r="E363" i="2" s="1"/>
  <c r="D363" i="2"/>
  <c r="C364" i="2"/>
  <c r="E364" i="2" s="1"/>
  <c r="D364" i="2"/>
  <c r="C365" i="2"/>
  <c r="D365" i="2"/>
  <c r="E365" i="2"/>
  <c r="F365" i="2"/>
  <c r="C366" i="2"/>
  <c r="D366" i="2"/>
  <c r="E366" i="2"/>
  <c r="F366" i="2"/>
  <c r="C367" i="2"/>
  <c r="E367" i="2" s="1"/>
  <c r="D367" i="2"/>
  <c r="C368" i="2"/>
  <c r="D368" i="2"/>
  <c r="E368" i="2"/>
  <c r="F368" i="2"/>
  <c r="C369" i="2"/>
  <c r="D369" i="2"/>
  <c r="E369" i="2"/>
  <c r="F369" i="2"/>
  <c r="C370" i="2"/>
  <c r="E370" i="2" s="1"/>
  <c r="D370" i="2"/>
  <c r="C371" i="2"/>
  <c r="D371" i="2"/>
  <c r="E371" i="2"/>
  <c r="F371" i="2"/>
  <c r="C372" i="2"/>
  <c r="D372" i="2"/>
  <c r="E372" i="2"/>
  <c r="F372" i="2"/>
  <c r="C373" i="2"/>
  <c r="E373" i="2" s="1"/>
  <c r="D373" i="2"/>
  <c r="F373" i="2"/>
  <c r="C374" i="2"/>
  <c r="E374" i="2" s="1"/>
  <c r="D374" i="2"/>
  <c r="C375" i="2"/>
  <c r="D375" i="2"/>
  <c r="E375" i="2"/>
  <c r="F375" i="2"/>
  <c r="C376" i="2"/>
  <c r="E376" i="2" s="1"/>
  <c r="D376" i="2"/>
  <c r="C377" i="2"/>
  <c r="D377" i="2"/>
  <c r="E377" i="2"/>
  <c r="F377" i="2"/>
  <c r="C378" i="2"/>
  <c r="E378" i="2" s="1"/>
  <c r="D378" i="2"/>
  <c r="F378" i="2"/>
  <c r="C379" i="2"/>
  <c r="E379" i="2" s="1"/>
  <c r="D379" i="2"/>
  <c r="F379" i="2"/>
  <c r="C380" i="2"/>
  <c r="D380" i="2"/>
  <c r="E380" i="2"/>
  <c r="F380" i="2"/>
  <c r="C381" i="2"/>
  <c r="D381" i="2"/>
  <c r="E381" i="2"/>
  <c r="F381" i="2"/>
  <c r="C382" i="2"/>
  <c r="E382" i="2" s="1"/>
  <c r="D382" i="2"/>
  <c r="C383" i="2"/>
  <c r="D383" i="2"/>
  <c r="E383" i="2"/>
  <c r="F383" i="2"/>
  <c r="C384" i="2"/>
  <c r="E384" i="2" s="1"/>
  <c r="D384" i="2"/>
  <c r="C385" i="2"/>
  <c r="E385" i="2" s="1"/>
  <c r="D385" i="2"/>
  <c r="F385" i="2"/>
  <c r="C386" i="2"/>
  <c r="D386" i="2"/>
  <c r="E386" i="2"/>
  <c r="F386" i="2"/>
  <c r="C387" i="2"/>
  <c r="F387" i="2" s="1"/>
  <c r="D387" i="2"/>
  <c r="E387" i="2"/>
  <c r="C388" i="2"/>
  <c r="E388" i="2" s="1"/>
  <c r="D388" i="2"/>
  <c r="C389" i="2"/>
  <c r="D389" i="2"/>
  <c r="E389" i="2"/>
  <c r="F389" i="2"/>
  <c r="C390" i="2"/>
  <c r="D390" i="2"/>
  <c r="E390" i="2"/>
  <c r="F390" i="2"/>
  <c r="C391" i="2"/>
  <c r="E391" i="2" s="1"/>
  <c r="D391" i="2"/>
  <c r="F391" i="2"/>
  <c r="C392" i="2"/>
  <c r="D392" i="2"/>
  <c r="E392" i="2"/>
  <c r="F392" i="2"/>
  <c r="C393" i="2"/>
  <c r="D393" i="2"/>
  <c r="E393" i="2"/>
  <c r="F393" i="2"/>
  <c r="C394" i="2"/>
  <c r="E394" i="2" s="1"/>
  <c r="D394" i="2"/>
  <c r="C395" i="2"/>
  <c r="D395" i="2"/>
  <c r="E395" i="2"/>
  <c r="F395" i="2"/>
  <c r="C396" i="2"/>
  <c r="D396" i="2"/>
  <c r="E396" i="2"/>
  <c r="F396" i="2"/>
  <c r="C397" i="2"/>
  <c r="E397" i="2" s="1"/>
  <c r="D397" i="2"/>
  <c r="F397" i="2"/>
  <c r="C398" i="2"/>
  <c r="F398" i="2" s="1"/>
  <c r="D398" i="2"/>
  <c r="E398" i="2"/>
  <c r="C399" i="2"/>
  <c r="D399" i="2"/>
  <c r="E399" i="2"/>
  <c r="F399" i="2"/>
  <c r="C400" i="2"/>
  <c r="E400" i="2" s="1"/>
  <c r="D400" i="2"/>
  <c r="C401" i="2"/>
  <c r="D401" i="2"/>
  <c r="E401" i="2"/>
  <c r="F401" i="2"/>
  <c r="C402" i="2"/>
  <c r="D402" i="2"/>
  <c r="E402" i="2"/>
  <c r="F402" i="2"/>
  <c r="C403" i="2"/>
  <c r="E403" i="2" s="1"/>
  <c r="D403" i="2"/>
  <c r="F403" i="2"/>
  <c r="C404" i="2"/>
  <c r="F404" i="2" s="1"/>
  <c r="D404" i="2"/>
  <c r="E404" i="2"/>
  <c r="C405" i="2"/>
  <c r="E405" i="2" s="1"/>
  <c r="D405" i="2"/>
  <c r="F405" i="2" s="1"/>
  <c r="C406" i="2"/>
  <c r="E406" i="2" s="1"/>
  <c r="D406" i="2"/>
  <c r="C407" i="2"/>
  <c r="D407" i="2"/>
  <c r="E407" i="2"/>
  <c r="F407" i="2"/>
  <c r="C408" i="2"/>
  <c r="E408" i="2" s="1"/>
  <c r="D408" i="2"/>
  <c r="C409" i="2"/>
  <c r="E409" i="2" s="1"/>
  <c r="D409" i="2"/>
  <c r="F409" i="2"/>
  <c r="C410" i="2"/>
  <c r="D410" i="2"/>
  <c r="E410" i="2" s="1"/>
  <c r="F410" i="2"/>
  <c r="C411" i="2"/>
  <c r="E411" i="2" s="1"/>
  <c r="D411" i="2"/>
  <c r="C412" i="2"/>
  <c r="E412" i="2" s="1"/>
  <c r="D412" i="2"/>
  <c r="C413" i="2"/>
  <c r="D413" i="2"/>
  <c r="E413" i="2"/>
  <c r="F413" i="2"/>
  <c r="C414" i="2"/>
  <c r="D414" i="2"/>
  <c r="E414" i="2"/>
  <c r="F414" i="2"/>
  <c r="C415" i="2"/>
  <c r="E415" i="2" s="1"/>
  <c r="D415" i="2"/>
  <c r="C416" i="2"/>
  <c r="D416" i="2"/>
  <c r="E416" i="2"/>
  <c r="F416" i="2"/>
  <c r="C417" i="2"/>
  <c r="D417" i="2"/>
  <c r="E417" i="2"/>
  <c r="F417" i="2"/>
  <c r="C418" i="2"/>
  <c r="E418" i="2" s="1"/>
  <c r="D418" i="2"/>
  <c r="C419" i="2"/>
  <c r="D419" i="2"/>
  <c r="E419" i="2"/>
  <c r="F419" i="2"/>
  <c r="C420" i="2"/>
  <c r="D420" i="2"/>
  <c r="E420" i="2"/>
  <c r="F420" i="2"/>
  <c r="C421" i="2"/>
  <c r="E421" i="2" s="1"/>
  <c r="D421" i="2"/>
  <c r="F421" i="2"/>
  <c r="C422" i="2"/>
  <c r="E422" i="2" s="1"/>
  <c r="D422" i="2"/>
  <c r="C423" i="2"/>
  <c r="D423" i="2"/>
  <c r="E423" i="2"/>
  <c r="F423" i="2"/>
  <c r="C424" i="2"/>
  <c r="E424" i="2" s="1"/>
  <c r="D424" i="2"/>
  <c r="C425" i="2"/>
  <c r="D425" i="2"/>
  <c r="E425" i="2"/>
  <c r="F425" i="2"/>
  <c r="C426" i="2"/>
  <c r="E426" i="2" s="1"/>
  <c r="D426" i="2"/>
  <c r="F426" i="2"/>
  <c r="C427" i="2"/>
  <c r="E427" i="2" s="1"/>
  <c r="D427" i="2"/>
  <c r="F427" i="2"/>
  <c r="C428" i="2"/>
  <c r="D428" i="2"/>
  <c r="E428" i="2"/>
  <c r="F428" i="2"/>
  <c r="C429" i="2"/>
  <c r="D429" i="2"/>
  <c r="E429" i="2"/>
  <c r="F429" i="2"/>
  <c r="C430" i="2"/>
  <c r="E430" i="2" s="1"/>
  <c r="D430" i="2"/>
  <c r="C431" i="2"/>
  <c r="D431" i="2"/>
  <c r="E431" i="2"/>
  <c r="F431" i="2"/>
  <c r="C432" i="2"/>
  <c r="E432" i="2" s="1"/>
  <c r="D432" i="2"/>
  <c r="C433" i="2"/>
  <c r="E433" i="2" s="1"/>
  <c r="D433" i="2"/>
  <c r="F433" i="2"/>
  <c r="C434" i="2"/>
  <c r="D434" i="2"/>
  <c r="E434" i="2"/>
  <c r="F434" i="2"/>
  <c r="C435" i="2"/>
  <c r="F435" i="2" s="1"/>
  <c r="D435" i="2"/>
  <c r="E435" i="2"/>
  <c r="C436" i="2"/>
  <c r="E436" i="2" s="1"/>
  <c r="D436" i="2"/>
  <c r="C437" i="2"/>
  <c r="D437" i="2"/>
  <c r="E437" i="2"/>
  <c r="F437" i="2"/>
  <c r="C438" i="2"/>
  <c r="D438" i="2"/>
  <c r="E438" i="2"/>
  <c r="F438" i="2"/>
  <c r="C439" i="2"/>
  <c r="E439" i="2" s="1"/>
  <c r="D439" i="2"/>
  <c r="F439" i="2"/>
  <c r="C440" i="2"/>
  <c r="D440" i="2"/>
  <c r="E440" i="2"/>
  <c r="F440" i="2"/>
  <c r="C441" i="2"/>
  <c r="D441" i="2"/>
  <c r="E441" i="2"/>
  <c r="F441" i="2"/>
  <c r="C442" i="2"/>
  <c r="E442" i="2" s="1"/>
  <c r="D442" i="2"/>
  <c r="C443" i="2"/>
  <c r="D443" i="2"/>
  <c r="E443" i="2"/>
  <c r="F443" i="2"/>
  <c r="C444" i="2"/>
  <c r="D444" i="2"/>
  <c r="E444" i="2"/>
  <c r="F444" i="2"/>
  <c r="C445" i="2"/>
  <c r="E445" i="2" s="1"/>
  <c r="D445" i="2"/>
  <c r="F445" i="2"/>
  <c r="C446" i="2"/>
  <c r="F446" i="2" s="1"/>
  <c r="D446" i="2"/>
  <c r="E446" i="2"/>
  <c r="C447" i="2"/>
  <c r="D447" i="2"/>
  <c r="E447" i="2"/>
  <c r="F447" i="2"/>
  <c r="C448" i="2"/>
  <c r="E448" i="2" s="1"/>
  <c r="D448" i="2"/>
  <c r="C449" i="2"/>
  <c r="D449" i="2"/>
  <c r="E449" i="2"/>
  <c r="F449" i="2"/>
  <c r="C450" i="2"/>
  <c r="D450" i="2"/>
  <c r="E450" i="2"/>
  <c r="F450" i="2"/>
  <c r="C451" i="2"/>
  <c r="E451" i="2" s="1"/>
  <c r="D451" i="2"/>
  <c r="C452" i="2"/>
  <c r="F452" i="2" s="1"/>
  <c r="D452" i="2"/>
  <c r="E452" i="2"/>
  <c r="C453" i="2"/>
  <c r="E453" i="2" s="1"/>
  <c r="D453" i="2"/>
  <c r="F453" i="2" s="1"/>
  <c r="C454" i="2"/>
  <c r="E454" i="2" s="1"/>
  <c r="D454" i="2"/>
  <c r="C455" i="2"/>
  <c r="D455" i="2"/>
  <c r="E455" i="2"/>
  <c r="F455" i="2"/>
  <c r="C456" i="2"/>
  <c r="E456" i="2" s="1"/>
  <c r="D456" i="2"/>
  <c r="C457" i="2"/>
  <c r="E457" i="2" s="1"/>
  <c r="D457" i="2"/>
  <c r="F457" i="2"/>
  <c r="C458" i="2"/>
  <c r="D458" i="2"/>
  <c r="E458" i="2" s="1"/>
  <c r="F458" i="2"/>
  <c r="C459" i="2"/>
  <c r="E459" i="2" s="1"/>
  <c r="D459" i="2"/>
  <c r="C460" i="2"/>
  <c r="E460" i="2" s="1"/>
  <c r="D460" i="2"/>
  <c r="C461" i="2"/>
  <c r="D461" i="2"/>
  <c r="E461" i="2"/>
  <c r="F461" i="2"/>
  <c r="C462" i="2"/>
  <c r="D462" i="2"/>
  <c r="E462" i="2"/>
  <c r="F462" i="2"/>
  <c r="C463" i="2"/>
  <c r="E463" i="2" s="1"/>
  <c r="D463" i="2"/>
  <c r="C464" i="2"/>
  <c r="D464" i="2"/>
  <c r="E464" i="2"/>
  <c r="F464" i="2"/>
  <c r="C465" i="2"/>
  <c r="D465" i="2"/>
  <c r="E465" i="2"/>
  <c r="F465" i="2"/>
  <c r="C466" i="2"/>
  <c r="E466" i="2" s="1"/>
  <c r="D466" i="2"/>
  <c r="C467" i="2"/>
  <c r="D467" i="2"/>
  <c r="E467" i="2"/>
  <c r="F467" i="2"/>
  <c r="C468" i="2"/>
  <c r="D468" i="2"/>
  <c r="E468" i="2"/>
  <c r="F468" i="2"/>
  <c r="C469" i="2"/>
  <c r="E469" i="2" s="1"/>
  <c r="D469" i="2"/>
  <c r="F469" i="2"/>
  <c r="C470" i="2"/>
  <c r="E470" i="2" s="1"/>
  <c r="D470" i="2"/>
  <c r="C471" i="2"/>
  <c r="D471" i="2"/>
  <c r="E471" i="2"/>
  <c r="F471" i="2"/>
  <c r="C472" i="2"/>
  <c r="E472" i="2" s="1"/>
  <c r="D472" i="2"/>
  <c r="C473" i="2"/>
  <c r="D473" i="2"/>
  <c r="E473" i="2"/>
  <c r="F473" i="2"/>
  <c r="C474" i="2"/>
  <c r="E474" i="2" s="1"/>
  <c r="D474" i="2"/>
  <c r="F474" i="2"/>
  <c r="C475" i="2"/>
  <c r="E475" i="2" s="1"/>
  <c r="D475" i="2"/>
  <c r="F475" i="2"/>
  <c r="C476" i="2"/>
  <c r="D476" i="2"/>
  <c r="E476" i="2"/>
  <c r="F476" i="2"/>
  <c r="C477" i="2"/>
  <c r="D477" i="2"/>
  <c r="E477" i="2"/>
  <c r="F477" i="2"/>
  <c r="C478" i="2"/>
  <c r="E478" i="2" s="1"/>
  <c r="D478" i="2"/>
  <c r="C479" i="2"/>
  <c r="D479" i="2"/>
  <c r="E479" i="2"/>
  <c r="F479" i="2"/>
  <c r="C480" i="2"/>
  <c r="E480" i="2" s="1"/>
  <c r="D480" i="2"/>
  <c r="C481" i="2"/>
  <c r="E481" i="2" s="1"/>
  <c r="D481" i="2"/>
  <c r="F481" i="2"/>
  <c r="C482" i="2"/>
  <c r="D482" i="2"/>
  <c r="E482" i="2"/>
  <c r="F482" i="2"/>
  <c r="C483" i="2"/>
  <c r="F483" i="2" s="1"/>
  <c r="D483" i="2"/>
  <c r="E483" i="2"/>
  <c r="C484" i="2"/>
  <c r="E484" i="2" s="1"/>
  <c r="D484" i="2"/>
  <c r="C485" i="2"/>
  <c r="D485" i="2"/>
  <c r="E485" i="2"/>
  <c r="F485" i="2"/>
  <c r="C486" i="2"/>
  <c r="D486" i="2"/>
  <c r="E486" i="2"/>
  <c r="F486" i="2"/>
  <c r="C487" i="2"/>
  <c r="E487" i="2" s="1"/>
  <c r="D487" i="2"/>
  <c r="F487" i="2"/>
  <c r="C488" i="2"/>
  <c r="D488" i="2"/>
  <c r="E488" i="2"/>
  <c r="F488" i="2"/>
  <c r="C489" i="2"/>
  <c r="D489" i="2"/>
  <c r="E489" i="2"/>
  <c r="F489" i="2"/>
  <c r="C490" i="2"/>
  <c r="E490" i="2" s="1"/>
  <c r="D490" i="2"/>
  <c r="C491" i="2"/>
  <c r="D491" i="2"/>
  <c r="E491" i="2"/>
  <c r="F491" i="2"/>
  <c r="C492" i="2"/>
  <c r="D492" i="2"/>
  <c r="E492" i="2"/>
  <c r="F492" i="2"/>
  <c r="C493" i="2"/>
  <c r="E493" i="2" s="1"/>
  <c r="D493" i="2"/>
  <c r="F493" i="2"/>
  <c r="C494" i="2"/>
  <c r="F494" i="2" s="1"/>
  <c r="D494" i="2"/>
  <c r="E494" i="2"/>
  <c r="C495" i="2"/>
  <c r="D495" i="2"/>
  <c r="E495" i="2"/>
  <c r="F495" i="2"/>
  <c r="C496" i="2"/>
  <c r="E496" i="2" s="1"/>
  <c r="D496" i="2"/>
  <c r="C497" i="2"/>
  <c r="D497" i="2"/>
  <c r="E497" i="2"/>
  <c r="F497" i="2"/>
  <c r="C498" i="2"/>
  <c r="D498" i="2"/>
  <c r="E498" i="2"/>
  <c r="F498" i="2"/>
  <c r="C499" i="2"/>
  <c r="E499" i="2" s="1"/>
  <c r="D499" i="2"/>
  <c r="F499" i="2"/>
  <c r="C500" i="2"/>
  <c r="F500" i="2" s="1"/>
  <c r="D500" i="2"/>
  <c r="E500" i="2"/>
  <c r="C501" i="2"/>
  <c r="E501" i="2" s="1"/>
  <c r="D501" i="2"/>
  <c r="F501" i="2" s="1"/>
  <c r="C502" i="2"/>
  <c r="E502" i="2" s="1"/>
  <c r="D502" i="2"/>
  <c r="C503" i="2"/>
  <c r="D503" i="2"/>
  <c r="E503" i="2"/>
  <c r="F503" i="2"/>
  <c r="C504" i="2"/>
  <c r="E504" i="2" s="1"/>
  <c r="D504" i="2"/>
  <c r="D21" i="2"/>
  <c r="C21" i="2"/>
  <c r="F21" i="2" s="1"/>
  <c r="E49" i="2" l="1"/>
  <c r="F49" i="2"/>
  <c r="F451" i="2"/>
  <c r="F115" i="2"/>
  <c r="F470" i="2"/>
  <c r="F422" i="2"/>
  <c r="F374" i="2"/>
  <c r="F326" i="2"/>
  <c r="F278" i="2"/>
  <c r="F230" i="2"/>
  <c r="F182" i="2"/>
  <c r="F134" i="2"/>
  <c r="F86" i="2"/>
  <c r="F26" i="2"/>
  <c r="F504" i="2"/>
  <c r="F463" i="2"/>
  <c r="F456" i="2"/>
  <c r="F415" i="2"/>
  <c r="F408" i="2"/>
  <c r="F367" i="2"/>
  <c r="F360" i="2"/>
  <c r="F319" i="2"/>
  <c r="F312" i="2"/>
  <c r="F271" i="2"/>
  <c r="F264" i="2"/>
  <c r="F223" i="2"/>
  <c r="F216" i="2"/>
  <c r="F175" i="2"/>
  <c r="F168" i="2"/>
  <c r="F127" i="2"/>
  <c r="F120" i="2"/>
  <c r="F66" i="2"/>
  <c r="F79" i="2"/>
  <c r="E25" i="2"/>
  <c r="F25" i="2"/>
  <c r="E31" i="2"/>
  <c r="F31" i="2"/>
  <c r="E37" i="2"/>
  <c r="F37" i="2"/>
  <c r="F480" i="2"/>
  <c r="F432" i="2"/>
  <c r="F384" i="2"/>
  <c r="F336" i="2"/>
  <c r="F288" i="2"/>
  <c r="F192" i="2"/>
  <c r="F144" i="2"/>
  <c r="F96" i="2"/>
  <c r="F459" i="2"/>
  <c r="F411" i="2"/>
  <c r="F363" i="2"/>
  <c r="F315" i="2"/>
  <c r="F267" i="2"/>
  <c r="E240" i="2"/>
  <c r="F219" i="2"/>
  <c r="F171" i="2"/>
  <c r="F123" i="2"/>
  <c r="F69" i="2"/>
  <c r="F56" i="2"/>
  <c r="E43" i="2"/>
  <c r="F43" i="2"/>
  <c r="F502" i="2"/>
  <c r="F496" i="2"/>
  <c r="F490" i="2"/>
  <c r="F484" i="2"/>
  <c r="F478" i="2"/>
  <c r="F472" i="2"/>
  <c r="F466" i="2"/>
  <c r="F460" i="2"/>
  <c r="F454" i="2"/>
  <c r="F448" i="2"/>
  <c r="F442" i="2"/>
  <c r="F436" i="2"/>
  <c r="F430" i="2"/>
  <c r="F424" i="2"/>
  <c r="F418" i="2"/>
  <c r="F412" i="2"/>
  <c r="F406" i="2"/>
  <c r="F400" i="2"/>
  <c r="F394" i="2"/>
  <c r="F388" i="2"/>
  <c r="F382" i="2"/>
  <c r="F376" i="2"/>
  <c r="F370" i="2"/>
  <c r="F364" i="2"/>
  <c r="F358" i="2"/>
  <c r="F352" i="2"/>
  <c r="F346" i="2"/>
  <c r="F340" i="2"/>
  <c r="F334" i="2"/>
  <c r="F328" i="2"/>
  <c r="F322" i="2"/>
  <c r="F316" i="2"/>
  <c r="F310" i="2"/>
  <c r="F304" i="2"/>
  <c r="F298" i="2"/>
  <c r="F292" i="2"/>
  <c r="F286" i="2"/>
  <c r="F280" i="2"/>
  <c r="F274" i="2"/>
  <c r="F268" i="2"/>
  <c r="F262" i="2"/>
  <c r="F256" i="2"/>
  <c r="F250" i="2"/>
  <c r="F244" i="2"/>
  <c r="F238" i="2"/>
  <c r="F232" i="2"/>
  <c r="F226" i="2"/>
  <c r="F220" i="2"/>
  <c r="F214" i="2"/>
  <c r="F208" i="2"/>
  <c r="F202" i="2"/>
  <c r="F196" i="2"/>
  <c r="F190" i="2"/>
  <c r="F184" i="2"/>
  <c r="F178" i="2"/>
  <c r="F172" i="2"/>
  <c r="F166" i="2"/>
  <c r="F160" i="2"/>
  <c r="F154" i="2"/>
  <c r="F148" i="2"/>
  <c r="F142" i="2"/>
  <c r="F136" i="2"/>
  <c r="F130" i="2"/>
  <c r="F124" i="2"/>
  <c r="F118" i="2"/>
  <c r="F112" i="2"/>
  <c r="F106" i="2"/>
  <c r="F100" i="2"/>
  <c r="F94" i="2"/>
  <c r="F88" i="2"/>
  <c r="F22" i="2"/>
  <c r="E21" i="2"/>
</calcChain>
</file>

<file path=xl/sharedStrings.xml><?xml version="1.0" encoding="utf-8"?>
<sst xmlns="http://schemas.openxmlformats.org/spreadsheetml/2006/main" count="18" uniqueCount="16">
  <si>
    <t>Date</t>
  </si>
  <si>
    <t>Close/Last</t>
  </si>
  <si>
    <t>Volume</t>
  </si>
  <si>
    <t>Open</t>
  </si>
  <si>
    <t>High</t>
  </si>
  <si>
    <t>Low</t>
  </si>
  <si>
    <t>Sentiment</t>
  </si>
  <si>
    <t>Reach (Millions)</t>
  </si>
  <si>
    <t>Percentage</t>
  </si>
  <si>
    <t>Positive</t>
  </si>
  <si>
    <t>Negative</t>
  </si>
  <si>
    <t>Neutral</t>
  </si>
  <si>
    <t>SMA</t>
  </si>
  <si>
    <t>Standard Deviation</t>
  </si>
  <si>
    <t>Lower Band</t>
  </si>
  <si>
    <t>Upper Band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</si>
</sst>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">
    <xf numFmtId="0" fontId="0" fillId="0" borderId="0" xfId="0"/>
    <xf numFmtId="14" fontId="0" fillId="0" borderId="0" xfId="0" applyNumberFormat="1"/>
    <xf numFmtId="8" fontId="0" fillId="0" borderId="0" xfId="0" applyNumberFormat="1"/>
    <xf numFmtId="9" fontId="0" fillId="0" borderId="0" xfId="1" applyFont="1"/>
    <xf numFmtId="2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'Bollinger Bands'!$B$1</c:f>
              <c:strCache>
                <c:ptCount val="1"/>
                <c:pt idx="0">
                  <c:v>Close/Last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'Bollinger Bands'!$A$2:$A$504</c:f>
              <c:numCache>
                <c:formatCode>m/d/yyyy</c:formatCode>
                <c:ptCount val="503"/>
                <c:pt idx="0">
                  <c:v>45688</c:v>
                </c:pt>
                <c:pt idx="1">
                  <c:v>45687</c:v>
                </c:pt>
                <c:pt idx="2">
                  <c:v>45686</c:v>
                </c:pt>
                <c:pt idx="3">
                  <c:v>45685</c:v>
                </c:pt>
                <c:pt idx="4">
                  <c:v>45684</c:v>
                </c:pt>
                <c:pt idx="5">
                  <c:v>45681</c:v>
                </c:pt>
                <c:pt idx="6">
                  <c:v>45680</c:v>
                </c:pt>
                <c:pt idx="7">
                  <c:v>45679</c:v>
                </c:pt>
                <c:pt idx="8">
                  <c:v>45678</c:v>
                </c:pt>
                <c:pt idx="9">
                  <c:v>45674</c:v>
                </c:pt>
                <c:pt idx="10">
                  <c:v>45673</c:v>
                </c:pt>
                <c:pt idx="11">
                  <c:v>45672</c:v>
                </c:pt>
                <c:pt idx="12">
                  <c:v>45671</c:v>
                </c:pt>
                <c:pt idx="13">
                  <c:v>45670</c:v>
                </c:pt>
                <c:pt idx="14">
                  <c:v>45667</c:v>
                </c:pt>
                <c:pt idx="15">
                  <c:v>45665</c:v>
                </c:pt>
                <c:pt idx="16">
                  <c:v>45664</c:v>
                </c:pt>
                <c:pt idx="17">
                  <c:v>45663</c:v>
                </c:pt>
                <c:pt idx="18">
                  <c:v>45660</c:v>
                </c:pt>
                <c:pt idx="19">
                  <c:v>45659</c:v>
                </c:pt>
                <c:pt idx="20">
                  <c:v>45657</c:v>
                </c:pt>
                <c:pt idx="21">
                  <c:v>45656</c:v>
                </c:pt>
                <c:pt idx="22">
                  <c:v>45653</c:v>
                </c:pt>
                <c:pt idx="23">
                  <c:v>45652</c:v>
                </c:pt>
                <c:pt idx="24">
                  <c:v>45650</c:v>
                </c:pt>
                <c:pt idx="25">
                  <c:v>45649</c:v>
                </c:pt>
                <c:pt idx="26">
                  <c:v>45646</c:v>
                </c:pt>
                <c:pt idx="27">
                  <c:v>45645</c:v>
                </c:pt>
                <c:pt idx="28">
                  <c:v>45644</c:v>
                </c:pt>
                <c:pt idx="29">
                  <c:v>45643</c:v>
                </c:pt>
                <c:pt idx="30">
                  <c:v>45642</c:v>
                </c:pt>
                <c:pt idx="31">
                  <c:v>45639</c:v>
                </c:pt>
                <c:pt idx="32">
                  <c:v>45638</c:v>
                </c:pt>
                <c:pt idx="33">
                  <c:v>45637</c:v>
                </c:pt>
                <c:pt idx="34">
                  <c:v>45636</c:v>
                </c:pt>
                <c:pt idx="35">
                  <c:v>45635</c:v>
                </c:pt>
                <c:pt idx="36">
                  <c:v>45632</c:v>
                </c:pt>
                <c:pt idx="37">
                  <c:v>45631</c:v>
                </c:pt>
                <c:pt idx="38">
                  <c:v>45630</c:v>
                </c:pt>
                <c:pt idx="39">
                  <c:v>45629</c:v>
                </c:pt>
                <c:pt idx="40">
                  <c:v>45628</c:v>
                </c:pt>
                <c:pt idx="41">
                  <c:v>45625</c:v>
                </c:pt>
                <c:pt idx="42">
                  <c:v>45623</c:v>
                </c:pt>
                <c:pt idx="43">
                  <c:v>45622</c:v>
                </c:pt>
                <c:pt idx="44">
                  <c:v>45621</c:v>
                </c:pt>
                <c:pt idx="45">
                  <c:v>45618</c:v>
                </c:pt>
                <c:pt idx="46">
                  <c:v>45617</c:v>
                </c:pt>
                <c:pt idx="47">
                  <c:v>45616</c:v>
                </c:pt>
                <c:pt idx="48">
                  <c:v>45615</c:v>
                </c:pt>
                <c:pt idx="49">
                  <c:v>45614</c:v>
                </c:pt>
                <c:pt idx="50">
                  <c:v>45611</c:v>
                </c:pt>
                <c:pt idx="51">
                  <c:v>45610</c:v>
                </c:pt>
                <c:pt idx="52">
                  <c:v>45609</c:v>
                </c:pt>
                <c:pt idx="53">
                  <c:v>45608</c:v>
                </c:pt>
                <c:pt idx="54">
                  <c:v>45607</c:v>
                </c:pt>
                <c:pt idx="55">
                  <c:v>45604</c:v>
                </c:pt>
                <c:pt idx="56">
                  <c:v>45603</c:v>
                </c:pt>
                <c:pt idx="57">
                  <c:v>45602</c:v>
                </c:pt>
                <c:pt idx="58">
                  <c:v>45601</c:v>
                </c:pt>
                <c:pt idx="59">
                  <c:v>45600</c:v>
                </c:pt>
                <c:pt idx="60">
                  <c:v>45597</c:v>
                </c:pt>
                <c:pt idx="61">
                  <c:v>45596</c:v>
                </c:pt>
                <c:pt idx="62">
                  <c:v>45595</c:v>
                </c:pt>
                <c:pt idx="63">
                  <c:v>45594</c:v>
                </c:pt>
                <c:pt idx="64">
                  <c:v>45593</c:v>
                </c:pt>
                <c:pt idx="65">
                  <c:v>45590</c:v>
                </c:pt>
                <c:pt idx="66">
                  <c:v>45589</c:v>
                </c:pt>
                <c:pt idx="67">
                  <c:v>45588</c:v>
                </c:pt>
                <c:pt idx="68">
                  <c:v>45587</c:v>
                </c:pt>
                <c:pt idx="69">
                  <c:v>45586</c:v>
                </c:pt>
                <c:pt idx="70">
                  <c:v>45583</c:v>
                </c:pt>
                <c:pt idx="71">
                  <c:v>45582</c:v>
                </c:pt>
                <c:pt idx="72">
                  <c:v>45581</c:v>
                </c:pt>
                <c:pt idx="73">
                  <c:v>45580</c:v>
                </c:pt>
                <c:pt idx="74">
                  <c:v>45579</c:v>
                </c:pt>
                <c:pt idx="75">
                  <c:v>45576</c:v>
                </c:pt>
                <c:pt idx="76">
                  <c:v>45575</c:v>
                </c:pt>
                <c:pt idx="77">
                  <c:v>45574</c:v>
                </c:pt>
                <c:pt idx="78">
                  <c:v>45573</c:v>
                </c:pt>
                <c:pt idx="79">
                  <c:v>45572</c:v>
                </c:pt>
                <c:pt idx="80">
                  <c:v>45569</c:v>
                </c:pt>
                <c:pt idx="81">
                  <c:v>45568</c:v>
                </c:pt>
                <c:pt idx="82">
                  <c:v>45567</c:v>
                </c:pt>
                <c:pt idx="83">
                  <c:v>45566</c:v>
                </c:pt>
                <c:pt idx="84">
                  <c:v>45565</c:v>
                </c:pt>
                <c:pt idx="85">
                  <c:v>45562</c:v>
                </c:pt>
                <c:pt idx="86">
                  <c:v>45561</c:v>
                </c:pt>
                <c:pt idx="87">
                  <c:v>45560</c:v>
                </c:pt>
                <c:pt idx="88">
                  <c:v>45559</c:v>
                </c:pt>
                <c:pt idx="89">
                  <c:v>45558</c:v>
                </c:pt>
                <c:pt idx="90">
                  <c:v>45555</c:v>
                </c:pt>
                <c:pt idx="91">
                  <c:v>45554</c:v>
                </c:pt>
                <c:pt idx="92">
                  <c:v>45553</c:v>
                </c:pt>
                <c:pt idx="93">
                  <c:v>45552</c:v>
                </c:pt>
                <c:pt idx="94">
                  <c:v>45551</c:v>
                </c:pt>
                <c:pt idx="95">
                  <c:v>45548</c:v>
                </c:pt>
                <c:pt idx="96">
                  <c:v>45547</c:v>
                </c:pt>
                <c:pt idx="97">
                  <c:v>45546</c:v>
                </c:pt>
                <c:pt idx="98">
                  <c:v>45545</c:v>
                </c:pt>
                <c:pt idx="99">
                  <c:v>45544</c:v>
                </c:pt>
                <c:pt idx="100">
                  <c:v>45541</c:v>
                </c:pt>
                <c:pt idx="101">
                  <c:v>45540</c:v>
                </c:pt>
                <c:pt idx="102">
                  <c:v>45539</c:v>
                </c:pt>
                <c:pt idx="103">
                  <c:v>45538</c:v>
                </c:pt>
                <c:pt idx="104">
                  <c:v>45534</c:v>
                </c:pt>
                <c:pt idx="105">
                  <c:v>45533</c:v>
                </c:pt>
                <c:pt idx="106">
                  <c:v>45532</c:v>
                </c:pt>
                <c:pt idx="107">
                  <c:v>45531</c:v>
                </c:pt>
                <c:pt idx="108">
                  <c:v>45530</c:v>
                </c:pt>
                <c:pt idx="109">
                  <c:v>45527</c:v>
                </c:pt>
                <c:pt idx="110">
                  <c:v>45526</c:v>
                </c:pt>
                <c:pt idx="111">
                  <c:v>45525</c:v>
                </c:pt>
                <c:pt idx="112">
                  <c:v>45524</c:v>
                </c:pt>
                <c:pt idx="113">
                  <c:v>45523</c:v>
                </c:pt>
                <c:pt idx="114">
                  <c:v>45520</c:v>
                </c:pt>
                <c:pt idx="115">
                  <c:v>45519</c:v>
                </c:pt>
                <c:pt idx="116">
                  <c:v>45518</c:v>
                </c:pt>
                <c:pt idx="117">
                  <c:v>45517</c:v>
                </c:pt>
                <c:pt idx="118">
                  <c:v>45516</c:v>
                </c:pt>
                <c:pt idx="119">
                  <c:v>45513</c:v>
                </c:pt>
                <c:pt idx="120">
                  <c:v>45512</c:v>
                </c:pt>
                <c:pt idx="121">
                  <c:v>45511</c:v>
                </c:pt>
                <c:pt idx="122">
                  <c:v>45510</c:v>
                </c:pt>
                <c:pt idx="123">
                  <c:v>45509</c:v>
                </c:pt>
                <c:pt idx="124">
                  <c:v>45506</c:v>
                </c:pt>
                <c:pt idx="125">
                  <c:v>45505</c:v>
                </c:pt>
                <c:pt idx="126">
                  <c:v>45504</c:v>
                </c:pt>
                <c:pt idx="127">
                  <c:v>45503</c:v>
                </c:pt>
                <c:pt idx="128">
                  <c:v>45502</c:v>
                </c:pt>
                <c:pt idx="129">
                  <c:v>45499</c:v>
                </c:pt>
                <c:pt idx="130">
                  <c:v>45498</c:v>
                </c:pt>
                <c:pt idx="131">
                  <c:v>45497</c:v>
                </c:pt>
                <c:pt idx="132">
                  <c:v>45496</c:v>
                </c:pt>
                <c:pt idx="133">
                  <c:v>45495</c:v>
                </c:pt>
                <c:pt idx="134">
                  <c:v>45492</c:v>
                </c:pt>
                <c:pt idx="135">
                  <c:v>45491</c:v>
                </c:pt>
                <c:pt idx="136">
                  <c:v>45490</c:v>
                </c:pt>
                <c:pt idx="137">
                  <c:v>45489</c:v>
                </c:pt>
                <c:pt idx="138">
                  <c:v>45488</c:v>
                </c:pt>
                <c:pt idx="139">
                  <c:v>45485</c:v>
                </c:pt>
                <c:pt idx="140">
                  <c:v>45484</c:v>
                </c:pt>
                <c:pt idx="141">
                  <c:v>45483</c:v>
                </c:pt>
                <c:pt idx="142">
                  <c:v>45482</c:v>
                </c:pt>
                <c:pt idx="143">
                  <c:v>45481</c:v>
                </c:pt>
                <c:pt idx="144">
                  <c:v>45478</c:v>
                </c:pt>
                <c:pt idx="145">
                  <c:v>45476</c:v>
                </c:pt>
                <c:pt idx="146">
                  <c:v>45475</c:v>
                </c:pt>
                <c:pt idx="147">
                  <c:v>45474</c:v>
                </c:pt>
                <c:pt idx="148">
                  <c:v>45471</c:v>
                </c:pt>
                <c:pt idx="149">
                  <c:v>45470</c:v>
                </c:pt>
                <c:pt idx="150">
                  <c:v>45469</c:v>
                </c:pt>
                <c:pt idx="151">
                  <c:v>45468</c:v>
                </c:pt>
                <c:pt idx="152">
                  <c:v>45467</c:v>
                </c:pt>
                <c:pt idx="153">
                  <c:v>45464</c:v>
                </c:pt>
                <c:pt idx="154">
                  <c:v>45463</c:v>
                </c:pt>
                <c:pt idx="155">
                  <c:v>45461</c:v>
                </c:pt>
                <c:pt idx="156">
                  <c:v>45460</c:v>
                </c:pt>
                <c:pt idx="157">
                  <c:v>45457</c:v>
                </c:pt>
                <c:pt idx="158">
                  <c:v>45456</c:v>
                </c:pt>
                <c:pt idx="159">
                  <c:v>45455</c:v>
                </c:pt>
                <c:pt idx="160">
                  <c:v>45454</c:v>
                </c:pt>
                <c:pt idx="161">
                  <c:v>45453</c:v>
                </c:pt>
                <c:pt idx="162">
                  <c:v>45450</c:v>
                </c:pt>
                <c:pt idx="163">
                  <c:v>45449</c:v>
                </c:pt>
                <c:pt idx="164">
                  <c:v>45448</c:v>
                </c:pt>
                <c:pt idx="165">
                  <c:v>45447</c:v>
                </c:pt>
                <c:pt idx="166">
                  <c:v>45446</c:v>
                </c:pt>
                <c:pt idx="167">
                  <c:v>45443</c:v>
                </c:pt>
                <c:pt idx="168">
                  <c:v>45442</c:v>
                </c:pt>
                <c:pt idx="169">
                  <c:v>45441</c:v>
                </c:pt>
                <c:pt idx="170">
                  <c:v>45440</c:v>
                </c:pt>
                <c:pt idx="171">
                  <c:v>45436</c:v>
                </c:pt>
                <c:pt idx="172">
                  <c:v>45435</c:v>
                </c:pt>
                <c:pt idx="173">
                  <c:v>45434</c:v>
                </c:pt>
                <c:pt idx="174">
                  <c:v>45433</c:v>
                </c:pt>
                <c:pt idx="175">
                  <c:v>45432</c:v>
                </c:pt>
                <c:pt idx="176">
                  <c:v>45429</c:v>
                </c:pt>
                <c:pt idx="177">
                  <c:v>45428</c:v>
                </c:pt>
                <c:pt idx="178">
                  <c:v>45427</c:v>
                </c:pt>
                <c:pt idx="179">
                  <c:v>45426</c:v>
                </c:pt>
                <c:pt idx="180">
                  <c:v>45425</c:v>
                </c:pt>
                <c:pt idx="181">
                  <c:v>45422</c:v>
                </c:pt>
                <c:pt idx="182">
                  <c:v>45421</c:v>
                </c:pt>
                <c:pt idx="183">
                  <c:v>45420</c:v>
                </c:pt>
                <c:pt idx="184">
                  <c:v>45419</c:v>
                </c:pt>
                <c:pt idx="185">
                  <c:v>45418</c:v>
                </c:pt>
                <c:pt idx="186">
                  <c:v>45415</c:v>
                </c:pt>
                <c:pt idx="187">
                  <c:v>45414</c:v>
                </c:pt>
                <c:pt idx="188">
                  <c:v>45413</c:v>
                </c:pt>
                <c:pt idx="189">
                  <c:v>45412</c:v>
                </c:pt>
                <c:pt idx="190">
                  <c:v>45411</c:v>
                </c:pt>
                <c:pt idx="191">
                  <c:v>45408</c:v>
                </c:pt>
                <c:pt idx="192">
                  <c:v>45407</c:v>
                </c:pt>
                <c:pt idx="193">
                  <c:v>45406</c:v>
                </c:pt>
                <c:pt idx="194">
                  <c:v>45405</c:v>
                </c:pt>
                <c:pt idx="195">
                  <c:v>45404</c:v>
                </c:pt>
                <c:pt idx="196">
                  <c:v>45401</c:v>
                </c:pt>
                <c:pt idx="197">
                  <c:v>45400</c:v>
                </c:pt>
                <c:pt idx="198">
                  <c:v>45399</c:v>
                </c:pt>
                <c:pt idx="199">
                  <c:v>45398</c:v>
                </c:pt>
                <c:pt idx="200">
                  <c:v>45397</c:v>
                </c:pt>
                <c:pt idx="201">
                  <c:v>45394</c:v>
                </c:pt>
                <c:pt idx="202">
                  <c:v>45393</c:v>
                </c:pt>
                <c:pt idx="203">
                  <c:v>45392</c:v>
                </c:pt>
                <c:pt idx="204">
                  <c:v>45391</c:v>
                </c:pt>
                <c:pt idx="205">
                  <c:v>45390</c:v>
                </c:pt>
                <c:pt idx="206">
                  <c:v>45387</c:v>
                </c:pt>
                <c:pt idx="207">
                  <c:v>45386</c:v>
                </c:pt>
                <c:pt idx="208">
                  <c:v>45385</c:v>
                </c:pt>
                <c:pt idx="209">
                  <c:v>45384</c:v>
                </c:pt>
                <c:pt idx="210">
                  <c:v>45383</c:v>
                </c:pt>
                <c:pt idx="211">
                  <c:v>45379</c:v>
                </c:pt>
                <c:pt idx="212">
                  <c:v>45378</c:v>
                </c:pt>
                <c:pt idx="213">
                  <c:v>45377</c:v>
                </c:pt>
                <c:pt idx="214">
                  <c:v>45376</c:v>
                </c:pt>
                <c:pt idx="215">
                  <c:v>45373</c:v>
                </c:pt>
                <c:pt idx="216">
                  <c:v>45372</c:v>
                </c:pt>
                <c:pt idx="217">
                  <c:v>45371</c:v>
                </c:pt>
                <c:pt idx="218">
                  <c:v>45370</c:v>
                </c:pt>
                <c:pt idx="219">
                  <c:v>45369</c:v>
                </c:pt>
                <c:pt idx="220">
                  <c:v>45366</c:v>
                </c:pt>
                <c:pt idx="221">
                  <c:v>45365</c:v>
                </c:pt>
                <c:pt idx="222">
                  <c:v>45364</c:v>
                </c:pt>
                <c:pt idx="223">
                  <c:v>45363</c:v>
                </c:pt>
                <c:pt idx="224">
                  <c:v>45362</c:v>
                </c:pt>
                <c:pt idx="225">
                  <c:v>45359</c:v>
                </c:pt>
                <c:pt idx="226">
                  <c:v>45358</c:v>
                </c:pt>
                <c:pt idx="227">
                  <c:v>45357</c:v>
                </c:pt>
                <c:pt idx="228">
                  <c:v>45356</c:v>
                </c:pt>
                <c:pt idx="229">
                  <c:v>45355</c:v>
                </c:pt>
                <c:pt idx="230">
                  <c:v>45352</c:v>
                </c:pt>
                <c:pt idx="231">
                  <c:v>45351</c:v>
                </c:pt>
                <c:pt idx="232">
                  <c:v>45350</c:v>
                </c:pt>
                <c:pt idx="233">
                  <c:v>45349</c:v>
                </c:pt>
                <c:pt idx="234">
                  <c:v>45348</c:v>
                </c:pt>
                <c:pt idx="235">
                  <c:v>45345</c:v>
                </c:pt>
                <c:pt idx="236">
                  <c:v>45344</c:v>
                </c:pt>
                <c:pt idx="237">
                  <c:v>45343</c:v>
                </c:pt>
                <c:pt idx="238">
                  <c:v>45342</c:v>
                </c:pt>
                <c:pt idx="239">
                  <c:v>45338</c:v>
                </c:pt>
                <c:pt idx="240">
                  <c:v>45337</c:v>
                </c:pt>
                <c:pt idx="241">
                  <c:v>45336</c:v>
                </c:pt>
                <c:pt idx="242">
                  <c:v>45335</c:v>
                </c:pt>
                <c:pt idx="243">
                  <c:v>45334</c:v>
                </c:pt>
                <c:pt idx="244">
                  <c:v>45331</c:v>
                </c:pt>
                <c:pt idx="245">
                  <c:v>45330</c:v>
                </c:pt>
                <c:pt idx="246">
                  <c:v>45329</c:v>
                </c:pt>
                <c:pt idx="247">
                  <c:v>45328</c:v>
                </c:pt>
                <c:pt idx="248">
                  <c:v>45327</c:v>
                </c:pt>
                <c:pt idx="249">
                  <c:v>45324</c:v>
                </c:pt>
                <c:pt idx="250">
                  <c:v>45323</c:v>
                </c:pt>
                <c:pt idx="251">
                  <c:v>45322</c:v>
                </c:pt>
                <c:pt idx="252">
                  <c:v>45321</c:v>
                </c:pt>
                <c:pt idx="253">
                  <c:v>45320</c:v>
                </c:pt>
                <c:pt idx="254">
                  <c:v>45317</c:v>
                </c:pt>
                <c:pt idx="255">
                  <c:v>45316</c:v>
                </c:pt>
                <c:pt idx="256">
                  <c:v>45315</c:v>
                </c:pt>
                <c:pt idx="257">
                  <c:v>45314</c:v>
                </c:pt>
                <c:pt idx="258">
                  <c:v>45313</c:v>
                </c:pt>
                <c:pt idx="259">
                  <c:v>45310</c:v>
                </c:pt>
                <c:pt idx="260">
                  <c:v>45309</c:v>
                </c:pt>
                <c:pt idx="261">
                  <c:v>45308</c:v>
                </c:pt>
                <c:pt idx="262">
                  <c:v>45307</c:v>
                </c:pt>
                <c:pt idx="263">
                  <c:v>45303</c:v>
                </c:pt>
                <c:pt idx="264">
                  <c:v>45302</c:v>
                </c:pt>
                <c:pt idx="265">
                  <c:v>45301</c:v>
                </c:pt>
                <c:pt idx="266">
                  <c:v>45300</c:v>
                </c:pt>
                <c:pt idx="267">
                  <c:v>45299</c:v>
                </c:pt>
                <c:pt idx="268">
                  <c:v>45296</c:v>
                </c:pt>
                <c:pt idx="269">
                  <c:v>45295</c:v>
                </c:pt>
                <c:pt idx="270">
                  <c:v>45294</c:v>
                </c:pt>
                <c:pt idx="271">
                  <c:v>45293</c:v>
                </c:pt>
                <c:pt idx="272">
                  <c:v>45289</c:v>
                </c:pt>
                <c:pt idx="273">
                  <c:v>45288</c:v>
                </c:pt>
                <c:pt idx="274">
                  <c:v>45287</c:v>
                </c:pt>
                <c:pt idx="275">
                  <c:v>45286</c:v>
                </c:pt>
                <c:pt idx="276">
                  <c:v>45282</c:v>
                </c:pt>
                <c:pt idx="277">
                  <c:v>45281</c:v>
                </c:pt>
                <c:pt idx="278">
                  <c:v>45280</c:v>
                </c:pt>
                <c:pt idx="279">
                  <c:v>45279</c:v>
                </c:pt>
                <c:pt idx="280">
                  <c:v>45278</c:v>
                </c:pt>
                <c:pt idx="281">
                  <c:v>45275</c:v>
                </c:pt>
                <c:pt idx="282">
                  <c:v>45274</c:v>
                </c:pt>
                <c:pt idx="283">
                  <c:v>45273</c:v>
                </c:pt>
                <c:pt idx="284">
                  <c:v>45272</c:v>
                </c:pt>
                <c:pt idx="285">
                  <c:v>45271</c:v>
                </c:pt>
                <c:pt idx="286">
                  <c:v>45268</c:v>
                </c:pt>
                <c:pt idx="287">
                  <c:v>45267</c:v>
                </c:pt>
                <c:pt idx="288">
                  <c:v>45266</c:v>
                </c:pt>
                <c:pt idx="289">
                  <c:v>45265</c:v>
                </c:pt>
                <c:pt idx="290">
                  <c:v>45264</c:v>
                </c:pt>
                <c:pt idx="291">
                  <c:v>45261</c:v>
                </c:pt>
                <c:pt idx="292">
                  <c:v>45260</c:v>
                </c:pt>
                <c:pt idx="293">
                  <c:v>45259</c:v>
                </c:pt>
                <c:pt idx="294">
                  <c:v>45258</c:v>
                </c:pt>
                <c:pt idx="295">
                  <c:v>45257</c:v>
                </c:pt>
                <c:pt idx="296">
                  <c:v>45254</c:v>
                </c:pt>
                <c:pt idx="297">
                  <c:v>45252</c:v>
                </c:pt>
                <c:pt idx="298">
                  <c:v>45251</c:v>
                </c:pt>
                <c:pt idx="299">
                  <c:v>45250</c:v>
                </c:pt>
                <c:pt idx="300">
                  <c:v>45247</c:v>
                </c:pt>
                <c:pt idx="301">
                  <c:v>45246</c:v>
                </c:pt>
                <c:pt idx="302">
                  <c:v>45245</c:v>
                </c:pt>
                <c:pt idx="303">
                  <c:v>45244</c:v>
                </c:pt>
                <c:pt idx="304">
                  <c:v>45243</c:v>
                </c:pt>
                <c:pt idx="305">
                  <c:v>45240</c:v>
                </c:pt>
                <c:pt idx="306">
                  <c:v>45239</c:v>
                </c:pt>
                <c:pt idx="307">
                  <c:v>45238</c:v>
                </c:pt>
                <c:pt idx="308">
                  <c:v>45237</c:v>
                </c:pt>
                <c:pt idx="309">
                  <c:v>45236</c:v>
                </c:pt>
                <c:pt idx="310">
                  <c:v>45233</c:v>
                </c:pt>
                <c:pt idx="311">
                  <c:v>45232</c:v>
                </c:pt>
                <c:pt idx="312">
                  <c:v>45231</c:v>
                </c:pt>
                <c:pt idx="313">
                  <c:v>45230</c:v>
                </c:pt>
                <c:pt idx="314">
                  <c:v>45229</c:v>
                </c:pt>
                <c:pt idx="315">
                  <c:v>45226</c:v>
                </c:pt>
                <c:pt idx="316">
                  <c:v>45225</c:v>
                </c:pt>
                <c:pt idx="317">
                  <c:v>45224</c:v>
                </c:pt>
                <c:pt idx="318">
                  <c:v>45223</c:v>
                </c:pt>
                <c:pt idx="319">
                  <c:v>45222</c:v>
                </c:pt>
                <c:pt idx="320">
                  <c:v>45219</c:v>
                </c:pt>
                <c:pt idx="321">
                  <c:v>45218</c:v>
                </c:pt>
                <c:pt idx="322">
                  <c:v>45217</c:v>
                </c:pt>
                <c:pt idx="323">
                  <c:v>45216</c:v>
                </c:pt>
                <c:pt idx="324">
                  <c:v>45215</c:v>
                </c:pt>
                <c:pt idx="325">
                  <c:v>45212</c:v>
                </c:pt>
                <c:pt idx="326">
                  <c:v>45211</c:v>
                </c:pt>
                <c:pt idx="327">
                  <c:v>45210</c:v>
                </c:pt>
                <c:pt idx="328">
                  <c:v>45209</c:v>
                </c:pt>
                <c:pt idx="329">
                  <c:v>45208</c:v>
                </c:pt>
                <c:pt idx="330">
                  <c:v>45205</c:v>
                </c:pt>
                <c:pt idx="331">
                  <c:v>45204</c:v>
                </c:pt>
                <c:pt idx="332">
                  <c:v>45203</c:v>
                </c:pt>
                <c:pt idx="333">
                  <c:v>45202</c:v>
                </c:pt>
                <c:pt idx="334">
                  <c:v>45201</c:v>
                </c:pt>
                <c:pt idx="335">
                  <c:v>45198</c:v>
                </c:pt>
                <c:pt idx="336">
                  <c:v>45197</c:v>
                </c:pt>
                <c:pt idx="337">
                  <c:v>45196</c:v>
                </c:pt>
                <c:pt idx="338">
                  <c:v>45195</c:v>
                </c:pt>
                <c:pt idx="339">
                  <c:v>45194</c:v>
                </c:pt>
                <c:pt idx="340">
                  <c:v>45191</c:v>
                </c:pt>
                <c:pt idx="341">
                  <c:v>45190</c:v>
                </c:pt>
                <c:pt idx="342">
                  <c:v>45189</c:v>
                </c:pt>
                <c:pt idx="343">
                  <c:v>45188</c:v>
                </c:pt>
                <c:pt idx="344">
                  <c:v>45187</c:v>
                </c:pt>
                <c:pt idx="345">
                  <c:v>45184</c:v>
                </c:pt>
                <c:pt idx="346">
                  <c:v>45183</c:v>
                </c:pt>
                <c:pt idx="347">
                  <c:v>45182</c:v>
                </c:pt>
                <c:pt idx="348">
                  <c:v>45181</c:v>
                </c:pt>
                <c:pt idx="349">
                  <c:v>45180</c:v>
                </c:pt>
                <c:pt idx="350">
                  <c:v>45177</c:v>
                </c:pt>
                <c:pt idx="351">
                  <c:v>45176</c:v>
                </c:pt>
                <c:pt idx="352">
                  <c:v>45175</c:v>
                </c:pt>
                <c:pt idx="353">
                  <c:v>45174</c:v>
                </c:pt>
                <c:pt idx="354">
                  <c:v>45170</c:v>
                </c:pt>
                <c:pt idx="355">
                  <c:v>45169</c:v>
                </c:pt>
                <c:pt idx="356">
                  <c:v>45168</c:v>
                </c:pt>
                <c:pt idx="357">
                  <c:v>45167</c:v>
                </c:pt>
                <c:pt idx="358">
                  <c:v>45166</c:v>
                </c:pt>
                <c:pt idx="359">
                  <c:v>45163</c:v>
                </c:pt>
                <c:pt idx="360">
                  <c:v>45162</c:v>
                </c:pt>
                <c:pt idx="361">
                  <c:v>45161</c:v>
                </c:pt>
                <c:pt idx="362">
                  <c:v>45160</c:v>
                </c:pt>
                <c:pt idx="363">
                  <c:v>45159</c:v>
                </c:pt>
                <c:pt idx="364">
                  <c:v>45156</c:v>
                </c:pt>
                <c:pt idx="365">
                  <c:v>45155</c:v>
                </c:pt>
                <c:pt idx="366">
                  <c:v>45154</c:v>
                </c:pt>
                <c:pt idx="367">
                  <c:v>45153</c:v>
                </c:pt>
                <c:pt idx="368">
                  <c:v>45152</c:v>
                </c:pt>
                <c:pt idx="369">
                  <c:v>45149</c:v>
                </c:pt>
                <c:pt idx="370">
                  <c:v>45148</c:v>
                </c:pt>
                <c:pt idx="371">
                  <c:v>45147</c:v>
                </c:pt>
                <c:pt idx="372">
                  <c:v>45146</c:v>
                </c:pt>
                <c:pt idx="373">
                  <c:v>45145</c:v>
                </c:pt>
                <c:pt idx="374">
                  <c:v>45142</c:v>
                </c:pt>
                <c:pt idx="375">
                  <c:v>45141</c:v>
                </c:pt>
                <c:pt idx="376">
                  <c:v>45140</c:v>
                </c:pt>
                <c:pt idx="377">
                  <c:v>45139</c:v>
                </c:pt>
                <c:pt idx="378">
                  <c:v>45138</c:v>
                </c:pt>
                <c:pt idx="379">
                  <c:v>45135</c:v>
                </c:pt>
                <c:pt idx="380">
                  <c:v>45134</c:v>
                </c:pt>
                <c:pt idx="381">
                  <c:v>45133</c:v>
                </c:pt>
                <c:pt idx="382">
                  <c:v>45132</c:v>
                </c:pt>
                <c:pt idx="383">
                  <c:v>45131</c:v>
                </c:pt>
                <c:pt idx="384">
                  <c:v>45128</c:v>
                </c:pt>
                <c:pt idx="385">
                  <c:v>45127</c:v>
                </c:pt>
                <c:pt idx="386">
                  <c:v>45126</c:v>
                </c:pt>
                <c:pt idx="387">
                  <c:v>45125</c:v>
                </c:pt>
                <c:pt idx="388">
                  <c:v>45124</c:v>
                </c:pt>
                <c:pt idx="389">
                  <c:v>45121</c:v>
                </c:pt>
                <c:pt idx="390">
                  <c:v>45120</c:v>
                </c:pt>
                <c:pt idx="391">
                  <c:v>45119</c:v>
                </c:pt>
                <c:pt idx="392">
                  <c:v>45118</c:v>
                </c:pt>
                <c:pt idx="393">
                  <c:v>45117</c:v>
                </c:pt>
                <c:pt idx="394">
                  <c:v>45114</c:v>
                </c:pt>
                <c:pt idx="395">
                  <c:v>45113</c:v>
                </c:pt>
                <c:pt idx="396">
                  <c:v>45112</c:v>
                </c:pt>
                <c:pt idx="397">
                  <c:v>45110</c:v>
                </c:pt>
                <c:pt idx="398">
                  <c:v>45107</c:v>
                </c:pt>
                <c:pt idx="399">
                  <c:v>45106</c:v>
                </c:pt>
                <c:pt idx="400">
                  <c:v>45105</c:v>
                </c:pt>
                <c:pt idx="401">
                  <c:v>45104</c:v>
                </c:pt>
                <c:pt idx="402">
                  <c:v>45103</c:v>
                </c:pt>
                <c:pt idx="403">
                  <c:v>45100</c:v>
                </c:pt>
                <c:pt idx="404">
                  <c:v>45099</c:v>
                </c:pt>
                <c:pt idx="405">
                  <c:v>45098</c:v>
                </c:pt>
                <c:pt idx="406">
                  <c:v>45097</c:v>
                </c:pt>
                <c:pt idx="407">
                  <c:v>45093</c:v>
                </c:pt>
                <c:pt idx="408">
                  <c:v>45092</c:v>
                </c:pt>
                <c:pt idx="409">
                  <c:v>45091</c:v>
                </c:pt>
                <c:pt idx="410">
                  <c:v>45090</c:v>
                </c:pt>
                <c:pt idx="411">
                  <c:v>45089</c:v>
                </c:pt>
                <c:pt idx="412">
                  <c:v>45086</c:v>
                </c:pt>
                <c:pt idx="413">
                  <c:v>45085</c:v>
                </c:pt>
                <c:pt idx="414">
                  <c:v>45084</c:v>
                </c:pt>
                <c:pt idx="415">
                  <c:v>45083</c:v>
                </c:pt>
                <c:pt idx="416">
                  <c:v>45082</c:v>
                </c:pt>
                <c:pt idx="417">
                  <c:v>45079</c:v>
                </c:pt>
                <c:pt idx="418">
                  <c:v>45078</c:v>
                </c:pt>
                <c:pt idx="419">
                  <c:v>45077</c:v>
                </c:pt>
                <c:pt idx="420">
                  <c:v>45076</c:v>
                </c:pt>
                <c:pt idx="421">
                  <c:v>45072</c:v>
                </c:pt>
                <c:pt idx="422">
                  <c:v>45071</c:v>
                </c:pt>
                <c:pt idx="423">
                  <c:v>45070</c:v>
                </c:pt>
                <c:pt idx="424">
                  <c:v>45069</c:v>
                </c:pt>
                <c:pt idx="425">
                  <c:v>45068</c:v>
                </c:pt>
                <c:pt idx="426">
                  <c:v>45065</c:v>
                </c:pt>
                <c:pt idx="427">
                  <c:v>45064</c:v>
                </c:pt>
                <c:pt idx="428">
                  <c:v>45063</c:v>
                </c:pt>
                <c:pt idx="429">
                  <c:v>45062</c:v>
                </c:pt>
                <c:pt idx="430">
                  <c:v>45061</c:v>
                </c:pt>
                <c:pt idx="431">
                  <c:v>45058</c:v>
                </c:pt>
                <c:pt idx="432">
                  <c:v>45057</c:v>
                </c:pt>
                <c:pt idx="433">
                  <c:v>45056</c:v>
                </c:pt>
                <c:pt idx="434">
                  <c:v>45055</c:v>
                </c:pt>
                <c:pt idx="435">
                  <c:v>45054</c:v>
                </c:pt>
                <c:pt idx="436">
                  <c:v>45051</c:v>
                </c:pt>
                <c:pt idx="437">
                  <c:v>45050</c:v>
                </c:pt>
                <c:pt idx="438">
                  <c:v>45049</c:v>
                </c:pt>
                <c:pt idx="439">
                  <c:v>45048</c:v>
                </c:pt>
                <c:pt idx="440">
                  <c:v>45047</c:v>
                </c:pt>
                <c:pt idx="441">
                  <c:v>45044</c:v>
                </c:pt>
                <c:pt idx="442">
                  <c:v>45043</c:v>
                </c:pt>
                <c:pt idx="443">
                  <c:v>45042</c:v>
                </c:pt>
                <c:pt idx="444">
                  <c:v>45041</c:v>
                </c:pt>
                <c:pt idx="445">
                  <c:v>45040</c:v>
                </c:pt>
                <c:pt idx="446">
                  <c:v>45037</c:v>
                </c:pt>
                <c:pt idx="447">
                  <c:v>45036</c:v>
                </c:pt>
                <c:pt idx="448">
                  <c:v>45035</c:v>
                </c:pt>
                <c:pt idx="449">
                  <c:v>45034</c:v>
                </c:pt>
                <c:pt idx="450">
                  <c:v>45033</c:v>
                </c:pt>
                <c:pt idx="451">
                  <c:v>45030</c:v>
                </c:pt>
                <c:pt idx="452">
                  <c:v>45029</c:v>
                </c:pt>
                <c:pt idx="453">
                  <c:v>45028</c:v>
                </c:pt>
                <c:pt idx="454">
                  <c:v>45027</c:v>
                </c:pt>
                <c:pt idx="455">
                  <c:v>45026</c:v>
                </c:pt>
                <c:pt idx="456">
                  <c:v>45022</c:v>
                </c:pt>
                <c:pt idx="457">
                  <c:v>45021</c:v>
                </c:pt>
                <c:pt idx="458">
                  <c:v>45020</c:v>
                </c:pt>
                <c:pt idx="459">
                  <c:v>45019</c:v>
                </c:pt>
                <c:pt idx="460">
                  <c:v>45016</c:v>
                </c:pt>
                <c:pt idx="461">
                  <c:v>45015</c:v>
                </c:pt>
                <c:pt idx="462">
                  <c:v>45014</c:v>
                </c:pt>
                <c:pt idx="463">
                  <c:v>45013</c:v>
                </c:pt>
                <c:pt idx="464">
                  <c:v>45012</c:v>
                </c:pt>
                <c:pt idx="465">
                  <c:v>45009</c:v>
                </c:pt>
                <c:pt idx="466">
                  <c:v>45008</c:v>
                </c:pt>
                <c:pt idx="467">
                  <c:v>45007</c:v>
                </c:pt>
                <c:pt idx="468">
                  <c:v>45006</c:v>
                </c:pt>
                <c:pt idx="469">
                  <c:v>45005</c:v>
                </c:pt>
                <c:pt idx="470">
                  <c:v>45002</c:v>
                </c:pt>
                <c:pt idx="471">
                  <c:v>45001</c:v>
                </c:pt>
                <c:pt idx="472">
                  <c:v>45000</c:v>
                </c:pt>
                <c:pt idx="473">
                  <c:v>44999</c:v>
                </c:pt>
                <c:pt idx="474">
                  <c:v>44998</c:v>
                </c:pt>
                <c:pt idx="475">
                  <c:v>44995</c:v>
                </c:pt>
                <c:pt idx="476">
                  <c:v>44994</c:v>
                </c:pt>
                <c:pt idx="477">
                  <c:v>44993</c:v>
                </c:pt>
                <c:pt idx="478">
                  <c:v>44992</c:v>
                </c:pt>
                <c:pt idx="479">
                  <c:v>44991</c:v>
                </c:pt>
                <c:pt idx="480">
                  <c:v>44988</c:v>
                </c:pt>
                <c:pt idx="481">
                  <c:v>44987</c:v>
                </c:pt>
                <c:pt idx="482">
                  <c:v>44986</c:v>
                </c:pt>
                <c:pt idx="483">
                  <c:v>44985</c:v>
                </c:pt>
                <c:pt idx="484">
                  <c:v>44984</c:v>
                </c:pt>
                <c:pt idx="485">
                  <c:v>44981</c:v>
                </c:pt>
                <c:pt idx="486">
                  <c:v>44980</c:v>
                </c:pt>
                <c:pt idx="487">
                  <c:v>44979</c:v>
                </c:pt>
                <c:pt idx="488">
                  <c:v>44978</c:v>
                </c:pt>
                <c:pt idx="489">
                  <c:v>44974</c:v>
                </c:pt>
                <c:pt idx="490">
                  <c:v>44973</c:v>
                </c:pt>
                <c:pt idx="491">
                  <c:v>44972</c:v>
                </c:pt>
                <c:pt idx="492">
                  <c:v>44971</c:v>
                </c:pt>
                <c:pt idx="493">
                  <c:v>44970</c:v>
                </c:pt>
                <c:pt idx="494">
                  <c:v>44967</c:v>
                </c:pt>
                <c:pt idx="495">
                  <c:v>44966</c:v>
                </c:pt>
                <c:pt idx="496">
                  <c:v>44965</c:v>
                </c:pt>
                <c:pt idx="497">
                  <c:v>44964</c:v>
                </c:pt>
                <c:pt idx="498">
                  <c:v>44963</c:v>
                </c:pt>
                <c:pt idx="499">
                  <c:v>44960</c:v>
                </c:pt>
                <c:pt idx="500">
                  <c:v>44959</c:v>
                </c:pt>
                <c:pt idx="501">
                  <c:v>44958</c:v>
                </c:pt>
                <c:pt idx="502">
                  <c:v>44957</c:v>
                </c:pt>
              </c:numCache>
            </c:numRef>
          </c:cat>
          <c:val>
            <c:numRef>
              <c:f>'Bollinger Bands'!$B$2:$B$504</c:f>
              <c:numCache>
                <c:formatCode>"$"#,##0.00_);[Red]\("$"#,##0.00\)</c:formatCode>
                <c:ptCount val="503"/>
                <c:pt idx="0">
                  <c:v>54.91</c:v>
                </c:pt>
                <c:pt idx="1">
                  <c:v>56.06</c:v>
                </c:pt>
                <c:pt idx="2">
                  <c:v>55.05</c:v>
                </c:pt>
                <c:pt idx="3">
                  <c:v>55.79</c:v>
                </c:pt>
                <c:pt idx="4">
                  <c:v>53.45</c:v>
                </c:pt>
                <c:pt idx="5">
                  <c:v>52.23</c:v>
                </c:pt>
                <c:pt idx="6">
                  <c:v>53.09</c:v>
                </c:pt>
                <c:pt idx="7">
                  <c:v>52.25</c:v>
                </c:pt>
                <c:pt idx="8">
                  <c:v>52.05</c:v>
                </c:pt>
                <c:pt idx="9">
                  <c:v>53.12</c:v>
                </c:pt>
                <c:pt idx="10">
                  <c:v>52.72</c:v>
                </c:pt>
                <c:pt idx="11">
                  <c:v>53.27</c:v>
                </c:pt>
                <c:pt idx="12">
                  <c:v>53.41</c:v>
                </c:pt>
                <c:pt idx="13">
                  <c:v>53.45</c:v>
                </c:pt>
                <c:pt idx="14">
                  <c:v>52.57</c:v>
                </c:pt>
                <c:pt idx="15">
                  <c:v>53.42</c:v>
                </c:pt>
                <c:pt idx="16">
                  <c:v>53.98</c:v>
                </c:pt>
                <c:pt idx="17">
                  <c:v>56.61</c:v>
                </c:pt>
                <c:pt idx="18">
                  <c:v>53.9</c:v>
                </c:pt>
                <c:pt idx="19">
                  <c:v>53.11</c:v>
                </c:pt>
                <c:pt idx="20">
                  <c:v>52.89</c:v>
                </c:pt>
                <c:pt idx="21">
                  <c:v>53.83</c:v>
                </c:pt>
                <c:pt idx="22">
                  <c:v>52.71</c:v>
                </c:pt>
                <c:pt idx="23">
                  <c:v>53.84</c:v>
                </c:pt>
                <c:pt idx="24">
                  <c:v>55.13</c:v>
                </c:pt>
                <c:pt idx="25">
                  <c:v>55.44</c:v>
                </c:pt>
                <c:pt idx="26">
                  <c:v>56.81</c:v>
                </c:pt>
                <c:pt idx="27">
                  <c:v>57.14</c:v>
                </c:pt>
                <c:pt idx="28">
                  <c:v>56.64</c:v>
                </c:pt>
                <c:pt idx="29">
                  <c:v>60.97</c:v>
                </c:pt>
                <c:pt idx="30">
                  <c:v>61.61</c:v>
                </c:pt>
                <c:pt idx="31">
                  <c:v>58.98</c:v>
                </c:pt>
                <c:pt idx="32">
                  <c:v>58.58</c:v>
                </c:pt>
                <c:pt idx="33">
                  <c:v>58.99</c:v>
                </c:pt>
                <c:pt idx="34">
                  <c:v>58.76</c:v>
                </c:pt>
                <c:pt idx="35">
                  <c:v>58.75</c:v>
                </c:pt>
                <c:pt idx="36">
                  <c:v>57.3</c:v>
                </c:pt>
                <c:pt idx="37">
                  <c:v>57.21</c:v>
                </c:pt>
                <c:pt idx="38">
                  <c:v>59.06</c:v>
                </c:pt>
                <c:pt idx="39">
                  <c:v>57.23</c:v>
                </c:pt>
                <c:pt idx="40">
                  <c:v>55.46</c:v>
                </c:pt>
                <c:pt idx="41">
                  <c:v>54.86</c:v>
                </c:pt>
                <c:pt idx="42">
                  <c:v>54.31</c:v>
                </c:pt>
                <c:pt idx="43">
                  <c:v>54.78</c:v>
                </c:pt>
                <c:pt idx="44">
                  <c:v>55.68</c:v>
                </c:pt>
                <c:pt idx="45">
                  <c:v>52.3</c:v>
                </c:pt>
                <c:pt idx="46">
                  <c:v>51.99</c:v>
                </c:pt>
                <c:pt idx="47">
                  <c:v>50.86</c:v>
                </c:pt>
                <c:pt idx="48">
                  <c:v>50.41</c:v>
                </c:pt>
                <c:pt idx="49">
                  <c:v>50.56</c:v>
                </c:pt>
                <c:pt idx="50">
                  <c:v>49.63</c:v>
                </c:pt>
                <c:pt idx="51">
                  <c:v>51.04</c:v>
                </c:pt>
                <c:pt idx="52">
                  <c:v>53.43</c:v>
                </c:pt>
                <c:pt idx="53">
                  <c:v>54</c:v>
                </c:pt>
                <c:pt idx="54">
                  <c:v>54</c:v>
                </c:pt>
                <c:pt idx="55">
                  <c:v>53.31</c:v>
                </c:pt>
                <c:pt idx="56">
                  <c:v>53.41</c:v>
                </c:pt>
                <c:pt idx="57">
                  <c:v>53.08</c:v>
                </c:pt>
                <c:pt idx="58">
                  <c:v>52.73</c:v>
                </c:pt>
                <c:pt idx="59">
                  <c:v>52.27</c:v>
                </c:pt>
                <c:pt idx="60">
                  <c:v>52.77</c:v>
                </c:pt>
                <c:pt idx="61">
                  <c:v>51.44</c:v>
                </c:pt>
                <c:pt idx="62">
                  <c:v>47.99</c:v>
                </c:pt>
                <c:pt idx="63">
                  <c:v>47.48</c:v>
                </c:pt>
                <c:pt idx="64">
                  <c:v>48.77</c:v>
                </c:pt>
                <c:pt idx="65">
                  <c:v>48.64</c:v>
                </c:pt>
                <c:pt idx="66">
                  <c:v>48.63</c:v>
                </c:pt>
                <c:pt idx="67">
                  <c:v>49.64</c:v>
                </c:pt>
                <c:pt idx="68">
                  <c:v>49.33</c:v>
                </c:pt>
                <c:pt idx="69">
                  <c:v>51.77</c:v>
                </c:pt>
                <c:pt idx="70">
                  <c:v>51.56</c:v>
                </c:pt>
                <c:pt idx="71">
                  <c:v>50.75</c:v>
                </c:pt>
                <c:pt idx="72">
                  <c:v>52.53</c:v>
                </c:pt>
                <c:pt idx="73">
                  <c:v>51.31</c:v>
                </c:pt>
                <c:pt idx="74">
                  <c:v>49.61</c:v>
                </c:pt>
                <c:pt idx="75">
                  <c:v>49.69</c:v>
                </c:pt>
                <c:pt idx="76">
                  <c:v>49.65</c:v>
                </c:pt>
                <c:pt idx="77">
                  <c:v>50.76</c:v>
                </c:pt>
                <c:pt idx="78">
                  <c:v>50.83</c:v>
                </c:pt>
                <c:pt idx="79">
                  <c:v>51.19</c:v>
                </c:pt>
                <c:pt idx="80">
                  <c:v>52.8</c:v>
                </c:pt>
                <c:pt idx="81">
                  <c:v>51.1</c:v>
                </c:pt>
                <c:pt idx="82">
                  <c:v>51.84</c:v>
                </c:pt>
                <c:pt idx="83">
                  <c:v>52.3</c:v>
                </c:pt>
                <c:pt idx="84">
                  <c:v>55.53</c:v>
                </c:pt>
                <c:pt idx="85">
                  <c:v>57.14</c:v>
                </c:pt>
                <c:pt idx="86">
                  <c:v>55.75</c:v>
                </c:pt>
                <c:pt idx="87">
                  <c:v>54.62</c:v>
                </c:pt>
                <c:pt idx="88">
                  <c:v>55.02</c:v>
                </c:pt>
                <c:pt idx="89">
                  <c:v>54.83</c:v>
                </c:pt>
                <c:pt idx="90">
                  <c:v>53.91</c:v>
                </c:pt>
                <c:pt idx="91">
                  <c:v>54.07</c:v>
                </c:pt>
                <c:pt idx="92">
                  <c:v>54</c:v>
                </c:pt>
                <c:pt idx="93">
                  <c:v>54.09</c:v>
                </c:pt>
                <c:pt idx="94">
                  <c:v>53.88</c:v>
                </c:pt>
                <c:pt idx="95">
                  <c:v>55.65</c:v>
                </c:pt>
                <c:pt idx="96">
                  <c:v>51.74</c:v>
                </c:pt>
                <c:pt idx="97">
                  <c:v>51.92</c:v>
                </c:pt>
                <c:pt idx="98">
                  <c:v>52.58</c:v>
                </c:pt>
                <c:pt idx="99">
                  <c:v>52.35</c:v>
                </c:pt>
                <c:pt idx="100">
                  <c:v>53.19</c:v>
                </c:pt>
                <c:pt idx="101">
                  <c:v>55.57</c:v>
                </c:pt>
                <c:pt idx="102">
                  <c:v>55.57</c:v>
                </c:pt>
                <c:pt idx="103">
                  <c:v>54.76</c:v>
                </c:pt>
                <c:pt idx="104">
                  <c:v>55.09</c:v>
                </c:pt>
                <c:pt idx="105">
                  <c:v>55.5</c:v>
                </c:pt>
                <c:pt idx="106">
                  <c:v>55.23</c:v>
                </c:pt>
                <c:pt idx="107">
                  <c:v>55.39</c:v>
                </c:pt>
                <c:pt idx="108">
                  <c:v>55.16</c:v>
                </c:pt>
                <c:pt idx="109">
                  <c:v>55.4</c:v>
                </c:pt>
                <c:pt idx="110">
                  <c:v>53.79</c:v>
                </c:pt>
                <c:pt idx="111">
                  <c:v>54.64</c:v>
                </c:pt>
                <c:pt idx="112">
                  <c:v>54.26</c:v>
                </c:pt>
                <c:pt idx="113">
                  <c:v>54.88</c:v>
                </c:pt>
                <c:pt idx="114">
                  <c:v>53.91</c:v>
                </c:pt>
                <c:pt idx="115">
                  <c:v>53.73</c:v>
                </c:pt>
                <c:pt idx="116">
                  <c:v>51.5</c:v>
                </c:pt>
                <c:pt idx="117">
                  <c:v>54.064999999999998</c:v>
                </c:pt>
                <c:pt idx="118">
                  <c:v>53.19</c:v>
                </c:pt>
                <c:pt idx="119">
                  <c:v>54.97</c:v>
                </c:pt>
                <c:pt idx="120">
                  <c:v>54.23</c:v>
                </c:pt>
                <c:pt idx="121">
                  <c:v>53.36</c:v>
                </c:pt>
                <c:pt idx="122">
                  <c:v>53.98</c:v>
                </c:pt>
                <c:pt idx="123">
                  <c:v>55.45</c:v>
                </c:pt>
                <c:pt idx="124">
                  <c:v>59.35</c:v>
                </c:pt>
                <c:pt idx="125">
                  <c:v>60.16</c:v>
                </c:pt>
                <c:pt idx="126">
                  <c:v>65.14</c:v>
                </c:pt>
                <c:pt idx="127">
                  <c:v>64.52</c:v>
                </c:pt>
                <c:pt idx="128">
                  <c:v>63.87</c:v>
                </c:pt>
                <c:pt idx="129">
                  <c:v>62.27</c:v>
                </c:pt>
                <c:pt idx="130">
                  <c:v>60.43</c:v>
                </c:pt>
                <c:pt idx="131">
                  <c:v>60.26</c:v>
                </c:pt>
                <c:pt idx="132">
                  <c:v>60.79</c:v>
                </c:pt>
                <c:pt idx="133">
                  <c:v>62.39</c:v>
                </c:pt>
                <c:pt idx="134">
                  <c:v>62.76</c:v>
                </c:pt>
                <c:pt idx="135">
                  <c:v>63.66</c:v>
                </c:pt>
                <c:pt idx="136">
                  <c:v>64.95</c:v>
                </c:pt>
                <c:pt idx="137">
                  <c:v>65.47</c:v>
                </c:pt>
                <c:pt idx="138">
                  <c:v>61.57</c:v>
                </c:pt>
                <c:pt idx="139">
                  <c:v>60.5</c:v>
                </c:pt>
                <c:pt idx="140">
                  <c:v>58.31</c:v>
                </c:pt>
                <c:pt idx="141">
                  <c:v>57.32</c:v>
                </c:pt>
                <c:pt idx="142">
                  <c:v>57.01</c:v>
                </c:pt>
                <c:pt idx="143">
                  <c:v>55.37</c:v>
                </c:pt>
                <c:pt idx="144">
                  <c:v>58.45</c:v>
                </c:pt>
                <c:pt idx="145">
                  <c:v>58.23</c:v>
                </c:pt>
                <c:pt idx="146">
                  <c:v>58.26</c:v>
                </c:pt>
                <c:pt idx="147">
                  <c:v>57.01</c:v>
                </c:pt>
                <c:pt idx="148">
                  <c:v>58.98</c:v>
                </c:pt>
                <c:pt idx="149">
                  <c:v>58.72</c:v>
                </c:pt>
                <c:pt idx="150">
                  <c:v>59.49</c:v>
                </c:pt>
                <c:pt idx="151">
                  <c:v>59.49</c:v>
                </c:pt>
                <c:pt idx="152">
                  <c:v>59.95</c:v>
                </c:pt>
                <c:pt idx="153">
                  <c:v>60.17</c:v>
                </c:pt>
                <c:pt idx="154">
                  <c:v>58.2</c:v>
                </c:pt>
                <c:pt idx="155">
                  <c:v>57.67</c:v>
                </c:pt>
                <c:pt idx="156">
                  <c:v>58.7</c:v>
                </c:pt>
                <c:pt idx="157">
                  <c:v>58.87</c:v>
                </c:pt>
                <c:pt idx="158">
                  <c:v>60.14</c:v>
                </c:pt>
                <c:pt idx="159">
                  <c:v>63.27</c:v>
                </c:pt>
                <c:pt idx="160">
                  <c:v>65.459999999999994</c:v>
                </c:pt>
                <c:pt idx="161">
                  <c:v>66.069999999999993</c:v>
                </c:pt>
                <c:pt idx="162">
                  <c:v>65.28</c:v>
                </c:pt>
                <c:pt idx="163">
                  <c:v>66.22</c:v>
                </c:pt>
                <c:pt idx="164">
                  <c:v>64.86</c:v>
                </c:pt>
                <c:pt idx="165">
                  <c:v>64.91</c:v>
                </c:pt>
                <c:pt idx="166">
                  <c:v>65.2</c:v>
                </c:pt>
                <c:pt idx="167">
                  <c:v>63.47</c:v>
                </c:pt>
                <c:pt idx="168">
                  <c:v>61.43</c:v>
                </c:pt>
                <c:pt idx="169">
                  <c:v>60.8</c:v>
                </c:pt>
                <c:pt idx="170">
                  <c:v>61.07</c:v>
                </c:pt>
                <c:pt idx="171">
                  <c:v>60.62</c:v>
                </c:pt>
                <c:pt idx="172">
                  <c:v>62.08</c:v>
                </c:pt>
                <c:pt idx="173">
                  <c:v>64.040000000000006</c:v>
                </c:pt>
                <c:pt idx="174">
                  <c:v>64.180000000000007</c:v>
                </c:pt>
                <c:pt idx="175">
                  <c:v>64.13</c:v>
                </c:pt>
                <c:pt idx="176">
                  <c:v>63.97</c:v>
                </c:pt>
                <c:pt idx="177">
                  <c:v>64.09</c:v>
                </c:pt>
                <c:pt idx="178">
                  <c:v>64.569999999999993</c:v>
                </c:pt>
                <c:pt idx="179">
                  <c:v>63.57</c:v>
                </c:pt>
                <c:pt idx="180">
                  <c:v>62.51</c:v>
                </c:pt>
                <c:pt idx="181">
                  <c:v>61.92</c:v>
                </c:pt>
                <c:pt idx="182">
                  <c:v>63.45</c:v>
                </c:pt>
                <c:pt idx="183">
                  <c:v>62.57</c:v>
                </c:pt>
                <c:pt idx="184">
                  <c:v>62.77</c:v>
                </c:pt>
                <c:pt idx="185">
                  <c:v>62.46</c:v>
                </c:pt>
                <c:pt idx="186">
                  <c:v>59.97</c:v>
                </c:pt>
                <c:pt idx="187">
                  <c:v>59.24</c:v>
                </c:pt>
                <c:pt idx="188">
                  <c:v>69.739999999999995</c:v>
                </c:pt>
                <c:pt idx="189">
                  <c:v>68.67</c:v>
                </c:pt>
                <c:pt idx="190">
                  <c:v>68.88</c:v>
                </c:pt>
                <c:pt idx="191">
                  <c:v>67.430000000000007</c:v>
                </c:pt>
                <c:pt idx="192">
                  <c:v>67.2</c:v>
                </c:pt>
                <c:pt idx="193">
                  <c:v>66.87</c:v>
                </c:pt>
                <c:pt idx="194">
                  <c:v>68.349999999999994</c:v>
                </c:pt>
                <c:pt idx="195">
                  <c:v>66.45</c:v>
                </c:pt>
                <c:pt idx="196">
                  <c:v>66.760000000000005</c:v>
                </c:pt>
                <c:pt idx="197">
                  <c:v>67.34</c:v>
                </c:pt>
                <c:pt idx="198">
                  <c:v>67.489999999999995</c:v>
                </c:pt>
                <c:pt idx="199">
                  <c:v>68.36</c:v>
                </c:pt>
                <c:pt idx="200">
                  <c:v>66.73</c:v>
                </c:pt>
                <c:pt idx="201">
                  <c:v>67.05</c:v>
                </c:pt>
                <c:pt idx="202">
                  <c:v>68.41</c:v>
                </c:pt>
                <c:pt idx="203">
                  <c:v>67.69</c:v>
                </c:pt>
                <c:pt idx="204">
                  <c:v>68.67</c:v>
                </c:pt>
                <c:pt idx="205">
                  <c:v>66.099999999999994</c:v>
                </c:pt>
                <c:pt idx="206">
                  <c:v>64.98</c:v>
                </c:pt>
                <c:pt idx="207">
                  <c:v>65.56</c:v>
                </c:pt>
                <c:pt idx="208">
                  <c:v>65.150000000000006</c:v>
                </c:pt>
                <c:pt idx="209">
                  <c:v>65.180000000000007</c:v>
                </c:pt>
                <c:pt idx="210">
                  <c:v>65.900000000000006</c:v>
                </c:pt>
                <c:pt idx="211">
                  <c:v>68.72</c:v>
                </c:pt>
                <c:pt idx="212">
                  <c:v>67.989999999999995</c:v>
                </c:pt>
                <c:pt idx="213">
                  <c:v>65.8</c:v>
                </c:pt>
                <c:pt idx="214">
                  <c:v>65.75</c:v>
                </c:pt>
                <c:pt idx="215">
                  <c:v>67.819999999999993</c:v>
                </c:pt>
                <c:pt idx="216">
                  <c:v>68.11</c:v>
                </c:pt>
                <c:pt idx="217">
                  <c:v>68.510000000000005</c:v>
                </c:pt>
                <c:pt idx="218">
                  <c:v>66.84</c:v>
                </c:pt>
                <c:pt idx="219">
                  <c:v>66.069999999999993</c:v>
                </c:pt>
                <c:pt idx="220">
                  <c:v>66.260000000000005</c:v>
                </c:pt>
                <c:pt idx="221">
                  <c:v>67.42</c:v>
                </c:pt>
                <c:pt idx="222">
                  <c:v>69.760000000000005</c:v>
                </c:pt>
                <c:pt idx="223">
                  <c:v>71.42</c:v>
                </c:pt>
                <c:pt idx="224">
                  <c:v>72.92</c:v>
                </c:pt>
                <c:pt idx="225">
                  <c:v>72.31</c:v>
                </c:pt>
                <c:pt idx="226">
                  <c:v>68.400000000000006</c:v>
                </c:pt>
                <c:pt idx="227">
                  <c:v>68.61</c:v>
                </c:pt>
                <c:pt idx="228">
                  <c:v>68.55</c:v>
                </c:pt>
                <c:pt idx="229">
                  <c:v>67.709999999999994</c:v>
                </c:pt>
                <c:pt idx="230">
                  <c:v>69.81</c:v>
                </c:pt>
                <c:pt idx="231">
                  <c:v>71.69</c:v>
                </c:pt>
                <c:pt idx="232">
                  <c:v>71</c:v>
                </c:pt>
                <c:pt idx="233">
                  <c:v>72.08</c:v>
                </c:pt>
                <c:pt idx="234">
                  <c:v>71.959999999999994</c:v>
                </c:pt>
                <c:pt idx="235">
                  <c:v>73.98</c:v>
                </c:pt>
                <c:pt idx="236">
                  <c:v>70.62</c:v>
                </c:pt>
                <c:pt idx="237">
                  <c:v>77.13</c:v>
                </c:pt>
                <c:pt idx="238">
                  <c:v>75.87</c:v>
                </c:pt>
                <c:pt idx="239">
                  <c:v>76.569999999999993</c:v>
                </c:pt>
                <c:pt idx="240">
                  <c:v>77.760000000000005</c:v>
                </c:pt>
                <c:pt idx="241">
                  <c:v>76.19</c:v>
                </c:pt>
                <c:pt idx="242">
                  <c:v>74.39</c:v>
                </c:pt>
                <c:pt idx="243">
                  <c:v>78.849999999999994</c:v>
                </c:pt>
                <c:pt idx="244">
                  <c:v>78.09</c:v>
                </c:pt>
                <c:pt idx="245">
                  <c:v>74.489999999999995</c:v>
                </c:pt>
                <c:pt idx="246">
                  <c:v>73.260000000000005</c:v>
                </c:pt>
                <c:pt idx="247">
                  <c:v>74.849999999999994</c:v>
                </c:pt>
                <c:pt idx="248">
                  <c:v>74.819999999999993</c:v>
                </c:pt>
                <c:pt idx="249">
                  <c:v>75.7</c:v>
                </c:pt>
                <c:pt idx="250">
                  <c:v>72.62</c:v>
                </c:pt>
                <c:pt idx="251">
                  <c:v>66.56</c:v>
                </c:pt>
                <c:pt idx="252">
                  <c:v>69.72</c:v>
                </c:pt>
                <c:pt idx="253">
                  <c:v>70.819999999999993</c:v>
                </c:pt>
                <c:pt idx="254">
                  <c:v>69.53</c:v>
                </c:pt>
                <c:pt idx="255">
                  <c:v>69.56</c:v>
                </c:pt>
                <c:pt idx="256">
                  <c:v>68.319999999999993</c:v>
                </c:pt>
                <c:pt idx="257">
                  <c:v>70.22</c:v>
                </c:pt>
                <c:pt idx="258">
                  <c:v>70.819999999999993</c:v>
                </c:pt>
                <c:pt idx="259">
                  <c:v>70.66</c:v>
                </c:pt>
                <c:pt idx="260">
                  <c:v>69.22</c:v>
                </c:pt>
                <c:pt idx="261">
                  <c:v>68.319999999999993</c:v>
                </c:pt>
                <c:pt idx="262">
                  <c:v>67.86</c:v>
                </c:pt>
                <c:pt idx="263">
                  <c:v>70.34</c:v>
                </c:pt>
                <c:pt idx="264">
                  <c:v>73.040000000000006</c:v>
                </c:pt>
                <c:pt idx="265">
                  <c:v>74.72</c:v>
                </c:pt>
                <c:pt idx="266">
                  <c:v>76.81</c:v>
                </c:pt>
                <c:pt idx="267">
                  <c:v>77.760000000000005</c:v>
                </c:pt>
                <c:pt idx="268">
                  <c:v>75.64</c:v>
                </c:pt>
                <c:pt idx="269">
                  <c:v>76.290000000000006</c:v>
                </c:pt>
                <c:pt idx="270">
                  <c:v>79.13</c:v>
                </c:pt>
                <c:pt idx="271">
                  <c:v>81.08</c:v>
                </c:pt>
                <c:pt idx="272">
                  <c:v>81.05</c:v>
                </c:pt>
                <c:pt idx="273">
                  <c:v>81.92</c:v>
                </c:pt>
                <c:pt idx="274">
                  <c:v>82.39</c:v>
                </c:pt>
                <c:pt idx="275">
                  <c:v>82.59</c:v>
                </c:pt>
                <c:pt idx="276">
                  <c:v>84.95</c:v>
                </c:pt>
                <c:pt idx="277">
                  <c:v>85.24</c:v>
                </c:pt>
                <c:pt idx="278">
                  <c:v>83.59</c:v>
                </c:pt>
                <c:pt idx="279">
                  <c:v>87.03</c:v>
                </c:pt>
                <c:pt idx="280">
                  <c:v>84.46</c:v>
                </c:pt>
                <c:pt idx="281">
                  <c:v>80.680000000000007</c:v>
                </c:pt>
                <c:pt idx="282">
                  <c:v>83.26</c:v>
                </c:pt>
                <c:pt idx="283">
                  <c:v>83.97</c:v>
                </c:pt>
                <c:pt idx="284">
                  <c:v>85.82</c:v>
                </c:pt>
                <c:pt idx="285">
                  <c:v>84.69</c:v>
                </c:pt>
                <c:pt idx="286">
                  <c:v>80.08</c:v>
                </c:pt>
                <c:pt idx="287">
                  <c:v>78.97</c:v>
                </c:pt>
                <c:pt idx="288">
                  <c:v>79.540000000000006</c:v>
                </c:pt>
                <c:pt idx="289">
                  <c:v>81.66</c:v>
                </c:pt>
                <c:pt idx="290">
                  <c:v>82.99</c:v>
                </c:pt>
                <c:pt idx="291">
                  <c:v>82.04</c:v>
                </c:pt>
                <c:pt idx="292">
                  <c:v>75.81</c:v>
                </c:pt>
                <c:pt idx="293">
                  <c:v>77.2</c:v>
                </c:pt>
                <c:pt idx="294">
                  <c:v>75.27</c:v>
                </c:pt>
                <c:pt idx="295">
                  <c:v>73.95</c:v>
                </c:pt>
                <c:pt idx="296">
                  <c:v>71.819999999999993</c:v>
                </c:pt>
                <c:pt idx="297">
                  <c:v>71.48</c:v>
                </c:pt>
                <c:pt idx="298">
                  <c:v>70.59</c:v>
                </c:pt>
                <c:pt idx="299">
                  <c:v>72.069999999999993</c:v>
                </c:pt>
                <c:pt idx="300">
                  <c:v>72.53</c:v>
                </c:pt>
                <c:pt idx="301">
                  <c:v>70.150000000000006</c:v>
                </c:pt>
                <c:pt idx="302">
                  <c:v>71.739999999999995</c:v>
                </c:pt>
                <c:pt idx="303">
                  <c:v>68.38</c:v>
                </c:pt>
                <c:pt idx="304">
                  <c:v>63.21</c:v>
                </c:pt>
                <c:pt idx="305">
                  <c:v>63.24</c:v>
                </c:pt>
                <c:pt idx="306">
                  <c:v>62.02</c:v>
                </c:pt>
                <c:pt idx="307">
                  <c:v>63.99</c:v>
                </c:pt>
                <c:pt idx="308">
                  <c:v>64.84</c:v>
                </c:pt>
                <c:pt idx="309">
                  <c:v>63.08</c:v>
                </c:pt>
                <c:pt idx="310">
                  <c:v>65.25</c:v>
                </c:pt>
                <c:pt idx="311">
                  <c:v>61.63</c:v>
                </c:pt>
                <c:pt idx="312">
                  <c:v>60.66</c:v>
                </c:pt>
                <c:pt idx="313">
                  <c:v>62.3</c:v>
                </c:pt>
                <c:pt idx="314">
                  <c:v>61.31</c:v>
                </c:pt>
                <c:pt idx="315">
                  <c:v>62.46</c:v>
                </c:pt>
                <c:pt idx="316">
                  <c:v>62.37</c:v>
                </c:pt>
                <c:pt idx="317">
                  <c:v>62.96</c:v>
                </c:pt>
                <c:pt idx="318">
                  <c:v>64.59</c:v>
                </c:pt>
                <c:pt idx="319">
                  <c:v>64.150000000000006</c:v>
                </c:pt>
                <c:pt idx="320">
                  <c:v>64.900000000000006</c:v>
                </c:pt>
                <c:pt idx="321">
                  <c:v>65.42</c:v>
                </c:pt>
                <c:pt idx="322">
                  <c:v>67.900000000000006</c:v>
                </c:pt>
                <c:pt idx="323">
                  <c:v>70.06</c:v>
                </c:pt>
                <c:pt idx="324">
                  <c:v>66.47</c:v>
                </c:pt>
                <c:pt idx="325">
                  <c:v>63.17</c:v>
                </c:pt>
                <c:pt idx="326">
                  <c:v>64.760000000000005</c:v>
                </c:pt>
                <c:pt idx="327">
                  <c:v>64.84</c:v>
                </c:pt>
                <c:pt idx="328">
                  <c:v>63.71</c:v>
                </c:pt>
                <c:pt idx="329">
                  <c:v>63.38</c:v>
                </c:pt>
                <c:pt idx="330">
                  <c:v>62.72</c:v>
                </c:pt>
                <c:pt idx="331">
                  <c:v>62.86</c:v>
                </c:pt>
                <c:pt idx="332">
                  <c:v>63.74</c:v>
                </c:pt>
                <c:pt idx="333">
                  <c:v>62.29</c:v>
                </c:pt>
                <c:pt idx="334">
                  <c:v>64.650000000000006</c:v>
                </c:pt>
                <c:pt idx="335">
                  <c:v>64.58</c:v>
                </c:pt>
                <c:pt idx="336">
                  <c:v>63.75</c:v>
                </c:pt>
                <c:pt idx="337">
                  <c:v>61.89</c:v>
                </c:pt>
                <c:pt idx="338">
                  <c:v>61.87</c:v>
                </c:pt>
                <c:pt idx="339">
                  <c:v>64.72</c:v>
                </c:pt>
                <c:pt idx="340">
                  <c:v>63.8</c:v>
                </c:pt>
                <c:pt idx="341">
                  <c:v>64.25</c:v>
                </c:pt>
                <c:pt idx="342">
                  <c:v>64.69</c:v>
                </c:pt>
                <c:pt idx="343">
                  <c:v>65.739999999999995</c:v>
                </c:pt>
                <c:pt idx="344">
                  <c:v>63.85</c:v>
                </c:pt>
                <c:pt idx="345">
                  <c:v>64.94</c:v>
                </c:pt>
                <c:pt idx="346">
                  <c:v>66.680000000000007</c:v>
                </c:pt>
                <c:pt idx="347">
                  <c:v>64.56</c:v>
                </c:pt>
                <c:pt idx="348">
                  <c:v>64.81</c:v>
                </c:pt>
                <c:pt idx="349">
                  <c:v>64.819999999999993</c:v>
                </c:pt>
                <c:pt idx="350">
                  <c:v>67.13</c:v>
                </c:pt>
                <c:pt idx="351">
                  <c:v>69.09</c:v>
                </c:pt>
                <c:pt idx="352">
                  <c:v>72.739999999999995</c:v>
                </c:pt>
                <c:pt idx="353">
                  <c:v>72.819999999999993</c:v>
                </c:pt>
                <c:pt idx="354">
                  <c:v>74.635000000000005</c:v>
                </c:pt>
                <c:pt idx="355">
                  <c:v>73.569999999999993</c:v>
                </c:pt>
                <c:pt idx="356">
                  <c:v>74.319999999999993</c:v>
                </c:pt>
                <c:pt idx="357">
                  <c:v>74.400000000000006</c:v>
                </c:pt>
                <c:pt idx="358">
                  <c:v>72.239999999999995</c:v>
                </c:pt>
                <c:pt idx="359">
                  <c:v>72.31</c:v>
                </c:pt>
                <c:pt idx="360">
                  <c:v>71.62</c:v>
                </c:pt>
                <c:pt idx="361">
                  <c:v>73.08</c:v>
                </c:pt>
                <c:pt idx="362">
                  <c:v>73.48</c:v>
                </c:pt>
                <c:pt idx="363">
                  <c:v>73.319999999999993</c:v>
                </c:pt>
                <c:pt idx="364">
                  <c:v>73.78</c:v>
                </c:pt>
                <c:pt idx="365">
                  <c:v>74.97</c:v>
                </c:pt>
                <c:pt idx="366">
                  <c:v>73.95</c:v>
                </c:pt>
                <c:pt idx="367">
                  <c:v>75.86</c:v>
                </c:pt>
                <c:pt idx="368">
                  <c:v>79.3</c:v>
                </c:pt>
                <c:pt idx="369">
                  <c:v>76.64</c:v>
                </c:pt>
                <c:pt idx="370">
                  <c:v>78.209999999999994</c:v>
                </c:pt>
                <c:pt idx="371">
                  <c:v>79.87</c:v>
                </c:pt>
                <c:pt idx="372">
                  <c:v>82.5</c:v>
                </c:pt>
                <c:pt idx="373">
                  <c:v>84.43</c:v>
                </c:pt>
                <c:pt idx="374">
                  <c:v>81.59</c:v>
                </c:pt>
                <c:pt idx="375">
                  <c:v>82.92</c:v>
                </c:pt>
                <c:pt idx="376">
                  <c:v>96.07</c:v>
                </c:pt>
                <c:pt idx="377">
                  <c:v>98.6</c:v>
                </c:pt>
                <c:pt idx="378">
                  <c:v>101.65</c:v>
                </c:pt>
                <c:pt idx="379">
                  <c:v>99.63</c:v>
                </c:pt>
                <c:pt idx="380">
                  <c:v>95.73</c:v>
                </c:pt>
                <c:pt idx="381">
                  <c:v>96.39</c:v>
                </c:pt>
                <c:pt idx="382">
                  <c:v>94.99</c:v>
                </c:pt>
                <c:pt idx="383">
                  <c:v>96.54</c:v>
                </c:pt>
                <c:pt idx="384">
                  <c:v>96.74</c:v>
                </c:pt>
                <c:pt idx="385">
                  <c:v>93.07</c:v>
                </c:pt>
                <c:pt idx="386">
                  <c:v>96.09</c:v>
                </c:pt>
                <c:pt idx="387">
                  <c:v>93.33</c:v>
                </c:pt>
                <c:pt idx="388">
                  <c:v>93.4</c:v>
                </c:pt>
                <c:pt idx="389">
                  <c:v>92.25</c:v>
                </c:pt>
                <c:pt idx="390">
                  <c:v>93.15</c:v>
                </c:pt>
                <c:pt idx="391">
                  <c:v>91.5</c:v>
                </c:pt>
                <c:pt idx="392">
                  <c:v>93.71</c:v>
                </c:pt>
                <c:pt idx="393">
                  <c:v>85.83</c:v>
                </c:pt>
                <c:pt idx="394">
                  <c:v>82.76</c:v>
                </c:pt>
                <c:pt idx="395">
                  <c:v>82.91</c:v>
                </c:pt>
                <c:pt idx="396">
                  <c:v>85.15</c:v>
                </c:pt>
                <c:pt idx="397">
                  <c:v>85.4</c:v>
                </c:pt>
                <c:pt idx="398">
                  <c:v>84.61</c:v>
                </c:pt>
                <c:pt idx="399">
                  <c:v>85.73</c:v>
                </c:pt>
                <c:pt idx="400">
                  <c:v>87.45</c:v>
                </c:pt>
                <c:pt idx="401">
                  <c:v>87.49</c:v>
                </c:pt>
                <c:pt idx="402">
                  <c:v>84.57</c:v>
                </c:pt>
                <c:pt idx="403">
                  <c:v>88.93</c:v>
                </c:pt>
                <c:pt idx="404">
                  <c:v>92.14</c:v>
                </c:pt>
                <c:pt idx="405">
                  <c:v>94.63</c:v>
                </c:pt>
                <c:pt idx="406">
                  <c:v>96.19</c:v>
                </c:pt>
                <c:pt idx="407">
                  <c:v>94.6</c:v>
                </c:pt>
                <c:pt idx="408">
                  <c:v>95.97</c:v>
                </c:pt>
                <c:pt idx="409">
                  <c:v>95.06</c:v>
                </c:pt>
                <c:pt idx="410">
                  <c:v>92.84</c:v>
                </c:pt>
                <c:pt idx="411">
                  <c:v>90.51</c:v>
                </c:pt>
                <c:pt idx="412">
                  <c:v>91.24</c:v>
                </c:pt>
                <c:pt idx="413">
                  <c:v>87.56</c:v>
                </c:pt>
                <c:pt idx="414">
                  <c:v>87.57</c:v>
                </c:pt>
                <c:pt idx="415">
                  <c:v>90.05</c:v>
                </c:pt>
                <c:pt idx="416">
                  <c:v>85.25</c:v>
                </c:pt>
                <c:pt idx="417">
                  <c:v>85.01</c:v>
                </c:pt>
                <c:pt idx="418">
                  <c:v>81.99</c:v>
                </c:pt>
                <c:pt idx="419">
                  <c:v>81.05</c:v>
                </c:pt>
                <c:pt idx="420">
                  <c:v>82.49</c:v>
                </c:pt>
                <c:pt idx="421">
                  <c:v>85.53</c:v>
                </c:pt>
                <c:pt idx="422">
                  <c:v>86.23</c:v>
                </c:pt>
                <c:pt idx="423">
                  <c:v>87.66</c:v>
                </c:pt>
                <c:pt idx="424">
                  <c:v>88.03</c:v>
                </c:pt>
                <c:pt idx="425">
                  <c:v>90.02</c:v>
                </c:pt>
                <c:pt idx="426">
                  <c:v>89.1</c:v>
                </c:pt>
                <c:pt idx="427">
                  <c:v>92.39</c:v>
                </c:pt>
                <c:pt idx="428">
                  <c:v>94.99</c:v>
                </c:pt>
                <c:pt idx="429">
                  <c:v>92.65</c:v>
                </c:pt>
                <c:pt idx="430">
                  <c:v>97.85</c:v>
                </c:pt>
                <c:pt idx="431">
                  <c:v>94.68</c:v>
                </c:pt>
                <c:pt idx="432">
                  <c:v>96.36</c:v>
                </c:pt>
                <c:pt idx="433">
                  <c:v>94.84</c:v>
                </c:pt>
                <c:pt idx="434">
                  <c:v>92.71</c:v>
                </c:pt>
                <c:pt idx="435">
                  <c:v>92.78</c:v>
                </c:pt>
                <c:pt idx="436">
                  <c:v>90</c:v>
                </c:pt>
                <c:pt idx="437">
                  <c:v>92.55</c:v>
                </c:pt>
                <c:pt idx="438">
                  <c:v>98.965000000000003</c:v>
                </c:pt>
                <c:pt idx="439">
                  <c:v>99.19</c:v>
                </c:pt>
                <c:pt idx="440">
                  <c:v>96.27</c:v>
                </c:pt>
                <c:pt idx="441">
                  <c:v>101.03</c:v>
                </c:pt>
                <c:pt idx="442">
                  <c:v>100.49</c:v>
                </c:pt>
                <c:pt idx="443">
                  <c:v>97.77</c:v>
                </c:pt>
                <c:pt idx="444">
                  <c:v>98.37</c:v>
                </c:pt>
                <c:pt idx="445">
                  <c:v>102.84</c:v>
                </c:pt>
                <c:pt idx="446">
                  <c:v>102.05</c:v>
                </c:pt>
                <c:pt idx="447">
                  <c:v>102.24</c:v>
                </c:pt>
                <c:pt idx="448">
                  <c:v>102.38</c:v>
                </c:pt>
                <c:pt idx="449">
                  <c:v>102.17</c:v>
                </c:pt>
                <c:pt idx="450">
                  <c:v>103.12</c:v>
                </c:pt>
                <c:pt idx="451">
                  <c:v>102.53</c:v>
                </c:pt>
                <c:pt idx="452">
                  <c:v>100.72</c:v>
                </c:pt>
                <c:pt idx="453">
                  <c:v>100.16</c:v>
                </c:pt>
                <c:pt idx="454">
                  <c:v>103.64</c:v>
                </c:pt>
                <c:pt idx="455">
                  <c:v>103.04</c:v>
                </c:pt>
                <c:pt idx="456">
                  <c:v>104.06</c:v>
                </c:pt>
                <c:pt idx="457">
                  <c:v>105.27</c:v>
                </c:pt>
                <c:pt idx="458">
                  <c:v>109.64</c:v>
                </c:pt>
                <c:pt idx="459">
                  <c:v>108.25</c:v>
                </c:pt>
                <c:pt idx="460">
                  <c:v>111.33</c:v>
                </c:pt>
                <c:pt idx="461">
                  <c:v>108.78</c:v>
                </c:pt>
                <c:pt idx="462">
                  <c:v>107.67</c:v>
                </c:pt>
                <c:pt idx="463">
                  <c:v>105.06</c:v>
                </c:pt>
                <c:pt idx="464">
                  <c:v>104.88</c:v>
                </c:pt>
                <c:pt idx="465">
                  <c:v>106.85</c:v>
                </c:pt>
                <c:pt idx="466">
                  <c:v>110.09</c:v>
                </c:pt>
                <c:pt idx="467">
                  <c:v>110.96</c:v>
                </c:pt>
                <c:pt idx="468">
                  <c:v>112.71</c:v>
                </c:pt>
                <c:pt idx="469">
                  <c:v>108.36</c:v>
                </c:pt>
                <c:pt idx="470">
                  <c:v>105.34</c:v>
                </c:pt>
                <c:pt idx="471">
                  <c:v>104.43</c:v>
                </c:pt>
                <c:pt idx="472">
                  <c:v>104.74</c:v>
                </c:pt>
                <c:pt idx="473">
                  <c:v>102.79</c:v>
                </c:pt>
                <c:pt idx="474">
                  <c:v>103.71</c:v>
                </c:pt>
                <c:pt idx="475">
                  <c:v>105.98</c:v>
                </c:pt>
                <c:pt idx="476">
                  <c:v>107.74</c:v>
                </c:pt>
                <c:pt idx="477">
                  <c:v>113.18</c:v>
                </c:pt>
                <c:pt idx="478">
                  <c:v>115.89</c:v>
                </c:pt>
                <c:pt idx="479">
                  <c:v>118.78</c:v>
                </c:pt>
                <c:pt idx="480">
                  <c:v>121.42</c:v>
                </c:pt>
                <c:pt idx="481">
                  <c:v>118.46</c:v>
                </c:pt>
                <c:pt idx="482">
                  <c:v>118.28</c:v>
                </c:pt>
                <c:pt idx="483">
                  <c:v>121.41</c:v>
                </c:pt>
                <c:pt idx="484">
                  <c:v>120.6</c:v>
                </c:pt>
                <c:pt idx="485">
                  <c:v>124.105</c:v>
                </c:pt>
                <c:pt idx="486">
                  <c:v>131.58000000000001</c:v>
                </c:pt>
                <c:pt idx="487">
                  <c:v>128.44999999999999</c:v>
                </c:pt>
                <c:pt idx="488">
                  <c:v>124.845</c:v>
                </c:pt>
                <c:pt idx="489">
                  <c:v>129.68</c:v>
                </c:pt>
                <c:pt idx="490">
                  <c:v>130.31</c:v>
                </c:pt>
                <c:pt idx="491">
                  <c:v>142.26</c:v>
                </c:pt>
                <c:pt idx="492">
                  <c:v>133.75</c:v>
                </c:pt>
                <c:pt idx="493">
                  <c:v>134.75</c:v>
                </c:pt>
                <c:pt idx="494">
                  <c:v>132.13</c:v>
                </c:pt>
                <c:pt idx="495">
                  <c:v>137.56</c:v>
                </c:pt>
                <c:pt idx="496">
                  <c:v>144.02000000000001</c:v>
                </c:pt>
                <c:pt idx="497">
                  <c:v>145.03</c:v>
                </c:pt>
                <c:pt idx="498">
                  <c:v>144.54</c:v>
                </c:pt>
                <c:pt idx="499">
                  <c:v>147.5</c:v>
                </c:pt>
                <c:pt idx="500">
                  <c:v>148.19999999999999</c:v>
                </c:pt>
                <c:pt idx="501">
                  <c:v>139.58000000000001</c:v>
                </c:pt>
                <c:pt idx="502">
                  <c:v>137.58000000000001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7BF-4528-A7E1-32987513913C}"/>
            </c:ext>
          </c:extLst>
        </c:ser>
        <c:ser>
          <c:idx val="1"/>
          <c:order val="1"/>
          <c:tx>
            <c:strRef>
              <c:f>'Bollinger Bands'!$C$1</c:f>
              <c:strCache>
                <c:ptCount val="1"/>
                <c:pt idx="0">
                  <c:v>SMA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'Bollinger Bands'!$A$2:$A$504</c:f>
              <c:numCache>
                <c:formatCode>m/d/yyyy</c:formatCode>
                <c:ptCount val="503"/>
                <c:pt idx="0">
                  <c:v>45688</c:v>
                </c:pt>
                <c:pt idx="1">
                  <c:v>45687</c:v>
                </c:pt>
                <c:pt idx="2">
                  <c:v>45686</c:v>
                </c:pt>
                <c:pt idx="3">
                  <c:v>45685</c:v>
                </c:pt>
                <c:pt idx="4">
                  <c:v>45684</c:v>
                </c:pt>
                <c:pt idx="5">
                  <c:v>45681</c:v>
                </c:pt>
                <c:pt idx="6">
                  <c:v>45680</c:v>
                </c:pt>
                <c:pt idx="7">
                  <c:v>45679</c:v>
                </c:pt>
                <c:pt idx="8">
                  <c:v>45678</c:v>
                </c:pt>
                <c:pt idx="9">
                  <c:v>45674</c:v>
                </c:pt>
                <c:pt idx="10">
                  <c:v>45673</c:v>
                </c:pt>
                <c:pt idx="11">
                  <c:v>45672</c:v>
                </c:pt>
                <c:pt idx="12">
                  <c:v>45671</c:v>
                </c:pt>
                <c:pt idx="13">
                  <c:v>45670</c:v>
                </c:pt>
                <c:pt idx="14">
                  <c:v>45667</c:v>
                </c:pt>
                <c:pt idx="15">
                  <c:v>45665</c:v>
                </c:pt>
                <c:pt idx="16">
                  <c:v>45664</c:v>
                </c:pt>
                <c:pt idx="17">
                  <c:v>45663</c:v>
                </c:pt>
                <c:pt idx="18">
                  <c:v>45660</c:v>
                </c:pt>
                <c:pt idx="19">
                  <c:v>45659</c:v>
                </c:pt>
                <c:pt idx="20">
                  <c:v>45657</c:v>
                </c:pt>
                <c:pt idx="21">
                  <c:v>45656</c:v>
                </c:pt>
                <c:pt idx="22">
                  <c:v>45653</c:v>
                </c:pt>
                <c:pt idx="23">
                  <c:v>45652</c:v>
                </c:pt>
                <c:pt idx="24">
                  <c:v>45650</c:v>
                </c:pt>
                <c:pt idx="25">
                  <c:v>45649</c:v>
                </c:pt>
                <c:pt idx="26">
                  <c:v>45646</c:v>
                </c:pt>
                <c:pt idx="27">
                  <c:v>45645</c:v>
                </c:pt>
                <c:pt idx="28">
                  <c:v>45644</c:v>
                </c:pt>
                <c:pt idx="29">
                  <c:v>45643</c:v>
                </c:pt>
                <c:pt idx="30">
                  <c:v>45642</c:v>
                </c:pt>
                <c:pt idx="31">
                  <c:v>45639</c:v>
                </c:pt>
                <c:pt idx="32">
                  <c:v>45638</c:v>
                </c:pt>
                <c:pt idx="33">
                  <c:v>45637</c:v>
                </c:pt>
                <c:pt idx="34">
                  <c:v>45636</c:v>
                </c:pt>
                <c:pt idx="35">
                  <c:v>45635</c:v>
                </c:pt>
                <c:pt idx="36">
                  <c:v>45632</c:v>
                </c:pt>
                <c:pt idx="37">
                  <c:v>45631</c:v>
                </c:pt>
                <c:pt idx="38">
                  <c:v>45630</c:v>
                </c:pt>
                <c:pt idx="39">
                  <c:v>45629</c:v>
                </c:pt>
                <c:pt idx="40">
                  <c:v>45628</c:v>
                </c:pt>
                <c:pt idx="41">
                  <c:v>45625</c:v>
                </c:pt>
                <c:pt idx="42">
                  <c:v>45623</c:v>
                </c:pt>
                <c:pt idx="43">
                  <c:v>45622</c:v>
                </c:pt>
                <c:pt idx="44">
                  <c:v>45621</c:v>
                </c:pt>
                <c:pt idx="45">
                  <c:v>45618</c:v>
                </c:pt>
                <c:pt idx="46">
                  <c:v>45617</c:v>
                </c:pt>
                <c:pt idx="47">
                  <c:v>45616</c:v>
                </c:pt>
                <c:pt idx="48">
                  <c:v>45615</c:v>
                </c:pt>
                <c:pt idx="49">
                  <c:v>45614</c:v>
                </c:pt>
                <c:pt idx="50">
                  <c:v>45611</c:v>
                </c:pt>
                <c:pt idx="51">
                  <c:v>45610</c:v>
                </c:pt>
                <c:pt idx="52">
                  <c:v>45609</c:v>
                </c:pt>
                <c:pt idx="53">
                  <c:v>45608</c:v>
                </c:pt>
                <c:pt idx="54">
                  <c:v>45607</c:v>
                </c:pt>
                <c:pt idx="55">
                  <c:v>45604</c:v>
                </c:pt>
                <c:pt idx="56">
                  <c:v>45603</c:v>
                </c:pt>
                <c:pt idx="57">
                  <c:v>45602</c:v>
                </c:pt>
                <c:pt idx="58">
                  <c:v>45601</c:v>
                </c:pt>
                <c:pt idx="59">
                  <c:v>45600</c:v>
                </c:pt>
                <c:pt idx="60">
                  <c:v>45597</c:v>
                </c:pt>
                <c:pt idx="61">
                  <c:v>45596</c:v>
                </c:pt>
                <c:pt idx="62">
                  <c:v>45595</c:v>
                </c:pt>
                <c:pt idx="63">
                  <c:v>45594</c:v>
                </c:pt>
                <c:pt idx="64">
                  <c:v>45593</c:v>
                </c:pt>
                <c:pt idx="65">
                  <c:v>45590</c:v>
                </c:pt>
                <c:pt idx="66">
                  <c:v>45589</c:v>
                </c:pt>
                <c:pt idx="67">
                  <c:v>45588</c:v>
                </c:pt>
                <c:pt idx="68">
                  <c:v>45587</c:v>
                </c:pt>
                <c:pt idx="69">
                  <c:v>45586</c:v>
                </c:pt>
                <c:pt idx="70">
                  <c:v>45583</c:v>
                </c:pt>
                <c:pt idx="71">
                  <c:v>45582</c:v>
                </c:pt>
                <c:pt idx="72">
                  <c:v>45581</c:v>
                </c:pt>
                <c:pt idx="73">
                  <c:v>45580</c:v>
                </c:pt>
                <c:pt idx="74">
                  <c:v>45579</c:v>
                </c:pt>
                <c:pt idx="75">
                  <c:v>45576</c:v>
                </c:pt>
                <c:pt idx="76">
                  <c:v>45575</c:v>
                </c:pt>
                <c:pt idx="77">
                  <c:v>45574</c:v>
                </c:pt>
                <c:pt idx="78">
                  <c:v>45573</c:v>
                </c:pt>
                <c:pt idx="79">
                  <c:v>45572</c:v>
                </c:pt>
                <c:pt idx="80">
                  <c:v>45569</c:v>
                </c:pt>
                <c:pt idx="81">
                  <c:v>45568</c:v>
                </c:pt>
                <c:pt idx="82">
                  <c:v>45567</c:v>
                </c:pt>
                <c:pt idx="83">
                  <c:v>45566</c:v>
                </c:pt>
                <c:pt idx="84">
                  <c:v>45565</c:v>
                </c:pt>
                <c:pt idx="85">
                  <c:v>45562</c:v>
                </c:pt>
                <c:pt idx="86">
                  <c:v>45561</c:v>
                </c:pt>
                <c:pt idx="87">
                  <c:v>45560</c:v>
                </c:pt>
                <c:pt idx="88">
                  <c:v>45559</c:v>
                </c:pt>
                <c:pt idx="89">
                  <c:v>45558</c:v>
                </c:pt>
                <c:pt idx="90">
                  <c:v>45555</c:v>
                </c:pt>
                <c:pt idx="91">
                  <c:v>45554</c:v>
                </c:pt>
                <c:pt idx="92">
                  <c:v>45553</c:v>
                </c:pt>
                <c:pt idx="93">
                  <c:v>45552</c:v>
                </c:pt>
                <c:pt idx="94">
                  <c:v>45551</c:v>
                </c:pt>
                <c:pt idx="95">
                  <c:v>45548</c:v>
                </c:pt>
                <c:pt idx="96">
                  <c:v>45547</c:v>
                </c:pt>
                <c:pt idx="97">
                  <c:v>45546</c:v>
                </c:pt>
                <c:pt idx="98">
                  <c:v>45545</c:v>
                </c:pt>
                <c:pt idx="99">
                  <c:v>45544</c:v>
                </c:pt>
                <c:pt idx="100">
                  <c:v>45541</c:v>
                </c:pt>
                <c:pt idx="101">
                  <c:v>45540</c:v>
                </c:pt>
                <c:pt idx="102">
                  <c:v>45539</c:v>
                </c:pt>
                <c:pt idx="103">
                  <c:v>45538</c:v>
                </c:pt>
                <c:pt idx="104">
                  <c:v>45534</c:v>
                </c:pt>
                <c:pt idx="105">
                  <c:v>45533</c:v>
                </c:pt>
                <c:pt idx="106">
                  <c:v>45532</c:v>
                </c:pt>
                <c:pt idx="107">
                  <c:v>45531</c:v>
                </c:pt>
                <c:pt idx="108">
                  <c:v>45530</c:v>
                </c:pt>
                <c:pt idx="109">
                  <c:v>45527</c:v>
                </c:pt>
                <c:pt idx="110">
                  <c:v>45526</c:v>
                </c:pt>
                <c:pt idx="111">
                  <c:v>45525</c:v>
                </c:pt>
                <c:pt idx="112">
                  <c:v>45524</c:v>
                </c:pt>
                <c:pt idx="113">
                  <c:v>45523</c:v>
                </c:pt>
                <c:pt idx="114">
                  <c:v>45520</c:v>
                </c:pt>
                <c:pt idx="115">
                  <c:v>45519</c:v>
                </c:pt>
                <c:pt idx="116">
                  <c:v>45518</c:v>
                </c:pt>
                <c:pt idx="117">
                  <c:v>45517</c:v>
                </c:pt>
                <c:pt idx="118">
                  <c:v>45516</c:v>
                </c:pt>
                <c:pt idx="119">
                  <c:v>45513</c:v>
                </c:pt>
                <c:pt idx="120">
                  <c:v>45512</c:v>
                </c:pt>
                <c:pt idx="121">
                  <c:v>45511</c:v>
                </c:pt>
                <c:pt idx="122">
                  <c:v>45510</c:v>
                </c:pt>
                <c:pt idx="123">
                  <c:v>45509</c:v>
                </c:pt>
                <c:pt idx="124">
                  <c:v>45506</c:v>
                </c:pt>
                <c:pt idx="125">
                  <c:v>45505</c:v>
                </c:pt>
                <c:pt idx="126">
                  <c:v>45504</c:v>
                </c:pt>
                <c:pt idx="127">
                  <c:v>45503</c:v>
                </c:pt>
                <c:pt idx="128">
                  <c:v>45502</c:v>
                </c:pt>
                <c:pt idx="129">
                  <c:v>45499</c:v>
                </c:pt>
                <c:pt idx="130">
                  <c:v>45498</c:v>
                </c:pt>
                <c:pt idx="131">
                  <c:v>45497</c:v>
                </c:pt>
                <c:pt idx="132">
                  <c:v>45496</c:v>
                </c:pt>
                <c:pt idx="133">
                  <c:v>45495</c:v>
                </c:pt>
                <c:pt idx="134">
                  <c:v>45492</c:v>
                </c:pt>
                <c:pt idx="135">
                  <c:v>45491</c:v>
                </c:pt>
                <c:pt idx="136">
                  <c:v>45490</c:v>
                </c:pt>
                <c:pt idx="137">
                  <c:v>45489</c:v>
                </c:pt>
                <c:pt idx="138">
                  <c:v>45488</c:v>
                </c:pt>
                <c:pt idx="139">
                  <c:v>45485</c:v>
                </c:pt>
                <c:pt idx="140">
                  <c:v>45484</c:v>
                </c:pt>
                <c:pt idx="141">
                  <c:v>45483</c:v>
                </c:pt>
                <c:pt idx="142">
                  <c:v>45482</c:v>
                </c:pt>
                <c:pt idx="143">
                  <c:v>45481</c:v>
                </c:pt>
                <c:pt idx="144">
                  <c:v>45478</c:v>
                </c:pt>
                <c:pt idx="145">
                  <c:v>45476</c:v>
                </c:pt>
                <c:pt idx="146">
                  <c:v>45475</c:v>
                </c:pt>
                <c:pt idx="147">
                  <c:v>45474</c:v>
                </c:pt>
                <c:pt idx="148">
                  <c:v>45471</c:v>
                </c:pt>
                <c:pt idx="149">
                  <c:v>45470</c:v>
                </c:pt>
                <c:pt idx="150">
                  <c:v>45469</c:v>
                </c:pt>
                <c:pt idx="151">
                  <c:v>45468</c:v>
                </c:pt>
                <c:pt idx="152">
                  <c:v>45467</c:v>
                </c:pt>
                <c:pt idx="153">
                  <c:v>45464</c:v>
                </c:pt>
                <c:pt idx="154">
                  <c:v>45463</c:v>
                </c:pt>
                <c:pt idx="155">
                  <c:v>45461</c:v>
                </c:pt>
                <c:pt idx="156">
                  <c:v>45460</c:v>
                </c:pt>
                <c:pt idx="157">
                  <c:v>45457</c:v>
                </c:pt>
                <c:pt idx="158">
                  <c:v>45456</c:v>
                </c:pt>
                <c:pt idx="159">
                  <c:v>45455</c:v>
                </c:pt>
                <c:pt idx="160">
                  <c:v>45454</c:v>
                </c:pt>
                <c:pt idx="161">
                  <c:v>45453</c:v>
                </c:pt>
                <c:pt idx="162">
                  <c:v>45450</c:v>
                </c:pt>
                <c:pt idx="163">
                  <c:v>45449</c:v>
                </c:pt>
                <c:pt idx="164">
                  <c:v>45448</c:v>
                </c:pt>
                <c:pt idx="165">
                  <c:v>45447</c:v>
                </c:pt>
                <c:pt idx="166">
                  <c:v>45446</c:v>
                </c:pt>
                <c:pt idx="167">
                  <c:v>45443</c:v>
                </c:pt>
                <c:pt idx="168">
                  <c:v>45442</c:v>
                </c:pt>
                <c:pt idx="169">
                  <c:v>45441</c:v>
                </c:pt>
                <c:pt idx="170">
                  <c:v>45440</c:v>
                </c:pt>
                <c:pt idx="171">
                  <c:v>45436</c:v>
                </c:pt>
                <c:pt idx="172">
                  <c:v>45435</c:v>
                </c:pt>
                <c:pt idx="173">
                  <c:v>45434</c:v>
                </c:pt>
                <c:pt idx="174">
                  <c:v>45433</c:v>
                </c:pt>
                <c:pt idx="175">
                  <c:v>45432</c:v>
                </c:pt>
                <c:pt idx="176">
                  <c:v>45429</c:v>
                </c:pt>
                <c:pt idx="177">
                  <c:v>45428</c:v>
                </c:pt>
                <c:pt idx="178">
                  <c:v>45427</c:v>
                </c:pt>
                <c:pt idx="179">
                  <c:v>45426</c:v>
                </c:pt>
                <c:pt idx="180">
                  <c:v>45425</c:v>
                </c:pt>
                <c:pt idx="181">
                  <c:v>45422</c:v>
                </c:pt>
                <c:pt idx="182">
                  <c:v>45421</c:v>
                </c:pt>
                <c:pt idx="183">
                  <c:v>45420</c:v>
                </c:pt>
                <c:pt idx="184">
                  <c:v>45419</c:v>
                </c:pt>
                <c:pt idx="185">
                  <c:v>45418</c:v>
                </c:pt>
                <c:pt idx="186">
                  <c:v>45415</c:v>
                </c:pt>
                <c:pt idx="187">
                  <c:v>45414</c:v>
                </c:pt>
                <c:pt idx="188">
                  <c:v>45413</c:v>
                </c:pt>
                <c:pt idx="189">
                  <c:v>45412</c:v>
                </c:pt>
                <c:pt idx="190">
                  <c:v>45411</c:v>
                </c:pt>
                <c:pt idx="191">
                  <c:v>45408</c:v>
                </c:pt>
                <c:pt idx="192">
                  <c:v>45407</c:v>
                </c:pt>
                <c:pt idx="193">
                  <c:v>45406</c:v>
                </c:pt>
                <c:pt idx="194">
                  <c:v>45405</c:v>
                </c:pt>
                <c:pt idx="195">
                  <c:v>45404</c:v>
                </c:pt>
                <c:pt idx="196">
                  <c:v>45401</c:v>
                </c:pt>
                <c:pt idx="197">
                  <c:v>45400</c:v>
                </c:pt>
                <c:pt idx="198">
                  <c:v>45399</c:v>
                </c:pt>
                <c:pt idx="199">
                  <c:v>45398</c:v>
                </c:pt>
                <c:pt idx="200">
                  <c:v>45397</c:v>
                </c:pt>
                <c:pt idx="201">
                  <c:v>45394</c:v>
                </c:pt>
                <c:pt idx="202">
                  <c:v>45393</c:v>
                </c:pt>
                <c:pt idx="203">
                  <c:v>45392</c:v>
                </c:pt>
                <c:pt idx="204">
                  <c:v>45391</c:v>
                </c:pt>
                <c:pt idx="205">
                  <c:v>45390</c:v>
                </c:pt>
                <c:pt idx="206">
                  <c:v>45387</c:v>
                </c:pt>
                <c:pt idx="207">
                  <c:v>45386</c:v>
                </c:pt>
                <c:pt idx="208">
                  <c:v>45385</c:v>
                </c:pt>
                <c:pt idx="209">
                  <c:v>45384</c:v>
                </c:pt>
                <c:pt idx="210">
                  <c:v>45383</c:v>
                </c:pt>
                <c:pt idx="211">
                  <c:v>45379</c:v>
                </c:pt>
                <c:pt idx="212">
                  <c:v>45378</c:v>
                </c:pt>
                <c:pt idx="213">
                  <c:v>45377</c:v>
                </c:pt>
                <c:pt idx="214">
                  <c:v>45376</c:v>
                </c:pt>
                <c:pt idx="215">
                  <c:v>45373</c:v>
                </c:pt>
                <c:pt idx="216">
                  <c:v>45372</c:v>
                </c:pt>
                <c:pt idx="217">
                  <c:v>45371</c:v>
                </c:pt>
                <c:pt idx="218">
                  <c:v>45370</c:v>
                </c:pt>
                <c:pt idx="219">
                  <c:v>45369</c:v>
                </c:pt>
                <c:pt idx="220">
                  <c:v>45366</c:v>
                </c:pt>
                <c:pt idx="221">
                  <c:v>45365</c:v>
                </c:pt>
                <c:pt idx="222">
                  <c:v>45364</c:v>
                </c:pt>
                <c:pt idx="223">
                  <c:v>45363</c:v>
                </c:pt>
                <c:pt idx="224">
                  <c:v>45362</c:v>
                </c:pt>
                <c:pt idx="225">
                  <c:v>45359</c:v>
                </c:pt>
                <c:pt idx="226">
                  <c:v>45358</c:v>
                </c:pt>
                <c:pt idx="227">
                  <c:v>45357</c:v>
                </c:pt>
                <c:pt idx="228">
                  <c:v>45356</c:v>
                </c:pt>
                <c:pt idx="229">
                  <c:v>45355</c:v>
                </c:pt>
                <c:pt idx="230">
                  <c:v>45352</c:v>
                </c:pt>
                <c:pt idx="231">
                  <c:v>45351</c:v>
                </c:pt>
                <c:pt idx="232">
                  <c:v>45350</c:v>
                </c:pt>
                <c:pt idx="233">
                  <c:v>45349</c:v>
                </c:pt>
                <c:pt idx="234">
                  <c:v>45348</c:v>
                </c:pt>
                <c:pt idx="235">
                  <c:v>45345</c:v>
                </c:pt>
                <c:pt idx="236">
                  <c:v>45344</c:v>
                </c:pt>
                <c:pt idx="237">
                  <c:v>45343</c:v>
                </c:pt>
                <c:pt idx="238">
                  <c:v>45342</c:v>
                </c:pt>
                <c:pt idx="239">
                  <c:v>45338</c:v>
                </c:pt>
                <c:pt idx="240">
                  <c:v>45337</c:v>
                </c:pt>
                <c:pt idx="241">
                  <c:v>45336</c:v>
                </c:pt>
                <c:pt idx="242">
                  <c:v>45335</c:v>
                </c:pt>
                <c:pt idx="243">
                  <c:v>45334</c:v>
                </c:pt>
                <c:pt idx="244">
                  <c:v>45331</c:v>
                </c:pt>
                <c:pt idx="245">
                  <c:v>45330</c:v>
                </c:pt>
                <c:pt idx="246">
                  <c:v>45329</c:v>
                </c:pt>
                <c:pt idx="247">
                  <c:v>45328</c:v>
                </c:pt>
                <c:pt idx="248">
                  <c:v>45327</c:v>
                </c:pt>
                <c:pt idx="249">
                  <c:v>45324</c:v>
                </c:pt>
                <c:pt idx="250">
                  <c:v>45323</c:v>
                </c:pt>
                <c:pt idx="251">
                  <c:v>45322</c:v>
                </c:pt>
                <c:pt idx="252">
                  <c:v>45321</c:v>
                </c:pt>
                <c:pt idx="253">
                  <c:v>45320</c:v>
                </c:pt>
                <c:pt idx="254">
                  <c:v>45317</c:v>
                </c:pt>
                <c:pt idx="255">
                  <c:v>45316</c:v>
                </c:pt>
                <c:pt idx="256">
                  <c:v>45315</c:v>
                </c:pt>
                <c:pt idx="257">
                  <c:v>45314</c:v>
                </c:pt>
                <c:pt idx="258">
                  <c:v>45313</c:v>
                </c:pt>
                <c:pt idx="259">
                  <c:v>45310</c:v>
                </c:pt>
                <c:pt idx="260">
                  <c:v>45309</c:v>
                </c:pt>
                <c:pt idx="261">
                  <c:v>45308</c:v>
                </c:pt>
                <c:pt idx="262">
                  <c:v>45307</c:v>
                </c:pt>
                <c:pt idx="263">
                  <c:v>45303</c:v>
                </c:pt>
                <c:pt idx="264">
                  <c:v>45302</c:v>
                </c:pt>
                <c:pt idx="265">
                  <c:v>45301</c:v>
                </c:pt>
                <c:pt idx="266">
                  <c:v>45300</c:v>
                </c:pt>
                <c:pt idx="267">
                  <c:v>45299</c:v>
                </c:pt>
                <c:pt idx="268">
                  <c:v>45296</c:v>
                </c:pt>
                <c:pt idx="269">
                  <c:v>45295</c:v>
                </c:pt>
                <c:pt idx="270">
                  <c:v>45294</c:v>
                </c:pt>
                <c:pt idx="271">
                  <c:v>45293</c:v>
                </c:pt>
                <c:pt idx="272">
                  <c:v>45289</c:v>
                </c:pt>
                <c:pt idx="273">
                  <c:v>45288</c:v>
                </c:pt>
                <c:pt idx="274">
                  <c:v>45287</c:v>
                </c:pt>
                <c:pt idx="275">
                  <c:v>45286</c:v>
                </c:pt>
                <c:pt idx="276">
                  <c:v>45282</c:v>
                </c:pt>
                <c:pt idx="277">
                  <c:v>45281</c:v>
                </c:pt>
                <c:pt idx="278">
                  <c:v>45280</c:v>
                </c:pt>
                <c:pt idx="279">
                  <c:v>45279</c:v>
                </c:pt>
                <c:pt idx="280">
                  <c:v>45278</c:v>
                </c:pt>
                <c:pt idx="281">
                  <c:v>45275</c:v>
                </c:pt>
                <c:pt idx="282">
                  <c:v>45274</c:v>
                </c:pt>
                <c:pt idx="283">
                  <c:v>45273</c:v>
                </c:pt>
                <c:pt idx="284">
                  <c:v>45272</c:v>
                </c:pt>
                <c:pt idx="285">
                  <c:v>45271</c:v>
                </c:pt>
                <c:pt idx="286">
                  <c:v>45268</c:v>
                </c:pt>
                <c:pt idx="287">
                  <c:v>45267</c:v>
                </c:pt>
                <c:pt idx="288">
                  <c:v>45266</c:v>
                </c:pt>
                <c:pt idx="289">
                  <c:v>45265</c:v>
                </c:pt>
                <c:pt idx="290">
                  <c:v>45264</c:v>
                </c:pt>
                <c:pt idx="291">
                  <c:v>45261</c:v>
                </c:pt>
                <c:pt idx="292">
                  <c:v>45260</c:v>
                </c:pt>
                <c:pt idx="293">
                  <c:v>45259</c:v>
                </c:pt>
                <c:pt idx="294">
                  <c:v>45258</c:v>
                </c:pt>
                <c:pt idx="295">
                  <c:v>45257</c:v>
                </c:pt>
                <c:pt idx="296">
                  <c:v>45254</c:v>
                </c:pt>
                <c:pt idx="297">
                  <c:v>45252</c:v>
                </c:pt>
                <c:pt idx="298">
                  <c:v>45251</c:v>
                </c:pt>
                <c:pt idx="299">
                  <c:v>45250</c:v>
                </c:pt>
                <c:pt idx="300">
                  <c:v>45247</c:v>
                </c:pt>
                <c:pt idx="301">
                  <c:v>45246</c:v>
                </c:pt>
                <c:pt idx="302">
                  <c:v>45245</c:v>
                </c:pt>
                <c:pt idx="303">
                  <c:v>45244</c:v>
                </c:pt>
                <c:pt idx="304">
                  <c:v>45243</c:v>
                </c:pt>
                <c:pt idx="305">
                  <c:v>45240</c:v>
                </c:pt>
                <c:pt idx="306">
                  <c:v>45239</c:v>
                </c:pt>
                <c:pt idx="307">
                  <c:v>45238</c:v>
                </c:pt>
                <c:pt idx="308">
                  <c:v>45237</c:v>
                </c:pt>
                <c:pt idx="309">
                  <c:v>45236</c:v>
                </c:pt>
                <c:pt idx="310">
                  <c:v>45233</c:v>
                </c:pt>
                <c:pt idx="311">
                  <c:v>45232</c:v>
                </c:pt>
                <c:pt idx="312">
                  <c:v>45231</c:v>
                </c:pt>
                <c:pt idx="313">
                  <c:v>45230</c:v>
                </c:pt>
                <c:pt idx="314">
                  <c:v>45229</c:v>
                </c:pt>
                <c:pt idx="315">
                  <c:v>45226</c:v>
                </c:pt>
                <c:pt idx="316">
                  <c:v>45225</c:v>
                </c:pt>
                <c:pt idx="317">
                  <c:v>45224</c:v>
                </c:pt>
                <c:pt idx="318">
                  <c:v>45223</c:v>
                </c:pt>
                <c:pt idx="319">
                  <c:v>45222</c:v>
                </c:pt>
                <c:pt idx="320">
                  <c:v>45219</c:v>
                </c:pt>
                <c:pt idx="321">
                  <c:v>45218</c:v>
                </c:pt>
                <c:pt idx="322">
                  <c:v>45217</c:v>
                </c:pt>
                <c:pt idx="323">
                  <c:v>45216</c:v>
                </c:pt>
                <c:pt idx="324">
                  <c:v>45215</c:v>
                </c:pt>
                <c:pt idx="325">
                  <c:v>45212</c:v>
                </c:pt>
                <c:pt idx="326">
                  <c:v>45211</c:v>
                </c:pt>
                <c:pt idx="327">
                  <c:v>45210</c:v>
                </c:pt>
                <c:pt idx="328">
                  <c:v>45209</c:v>
                </c:pt>
                <c:pt idx="329">
                  <c:v>45208</c:v>
                </c:pt>
                <c:pt idx="330">
                  <c:v>45205</c:v>
                </c:pt>
                <c:pt idx="331">
                  <c:v>45204</c:v>
                </c:pt>
                <c:pt idx="332">
                  <c:v>45203</c:v>
                </c:pt>
                <c:pt idx="333">
                  <c:v>45202</c:v>
                </c:pt>
                <c:pt idx="334">
                  <c:v>45201</c:v>
                </c:pt>
                <c:pt idx="335">
                  <c:v>45198</c:v>
                </c:pt>
                <c:pt idx="336">
                  <c:v>45197</c:v>
                </c:pt>
                <c:pt idx="337">
                  <c:v>45196</c:v>
                </c:pt>
                <c:pt idx="338">
                  <c:v>45195</c:v>
                </c:pt>
                <c:pt idx="339">
                  <c:v>45194</c:v>
                </c:pt>
                <c:pt idx="340">
                  <c:v>45191</c:v>
                </c:pt>
                <c:pt idx="341">
                  <c:v>45190</c:v>
                </c:pt>
                <c:pt idx="342">
                  <c:v>45189</c:v>
                </c:pt>
                <c:pt idx="343">
                  <c:v>45188</c:v>
                </c:pt>
                <c:pt idx="344">
                  <c:v>45187</c:v>
                </c:pt>
                <c:pt idx="345">
                  <c:v>45184</c:v>
                </c:pt>
                <c:pt idx="346">
                  <c:v>45183</c:v>
                </c:pt>
                <c:pt idx="347">
                  <c:v>45182</c:v>
                </c:pt>
                <c:pt idx="348">
                  <c:v>45181</c:v>
                </c:pt>
                <c:pt idx="349">
                  <c:v>45180</c:v>
                </c:pt>
                <c:pt idx="350">
                  <c:v>45177</c:v>
                </c:pt>
                <c:pt idx="351">
                  <c:v>45176</c:v>
                </c:pt>
                <c:pt idx="352">
                  <c:v>45175</c:v>
                </c:pt>
                <c:pt idx="353">
                  <c:v>45174</c:v>
                </c:pt>
                <c:pt idx="354">
                  <c:v>45170</c:v>
                </c:pt>
                <c:pt idx="355">
                  <c:v>45169</c:v>
                </c:pt>
                <c:pt idx="356">
                  <c:v>45168</c:v>
                </c:pt>
                <c:pt idx="357">
                  <c:v>45167</c:v>
                </c:pt>
                <c:pt idx="358">
                  <c:v>45166</c:v>
                </c:pt>
                <c:pt idx="359">
                  <c:v>45163</c:v>
                </c:pt>
                <c:pt idx="360">
                  <c:v>45162</c:v>
                </c:pt>
                <c:pt idx="361">
                  <c:v>45161</c:v>
                </c:pt>
                <c:pt idx="362">
                  <c:v>45160</c:v>
                </c:pt>
                <c:pt idx="363">
                  <c:v>45159</c:v>
                </c:pt>
                <c:pt idx="364">
                  <c:v>45156</c:v>
                </c:pt>
                <c:pt idx="365">
                  <c:v>45155</c:v>
                </c:pt>
                <c:pt idx="366">
                  <c:v>45154</c:v>
                </c:pt>
                <c:pt idx="367">
                  <c:v>45153</c:v>
                </c:pt>
                <c:pt idx="368">
                  <c:v>45152</c:v>
                </c:pt>
                <c:pt idx="369">
                  <c:v>45149</c:v>
                </c:pt>
                <c:pt idx="370">
                  <c:v>45148</c:v>
                </c:pt>
                <c:pt idx="371">
                  <c:v>45147</c:v>
                </c:pt>
                <c:pt idx="372">
                  <c:v>45146</c:v>
                </c:pt>
                <c:pt idx="373">
                  <c:v>45145</c:v>
                </c:pt>
                <c:pt idx="374">
                  <c:v>45142</c:v>
                </c:pt>
                <c:pt idx="375">
                  <c:v>45141</c:v>
                </c:pt>
                <c:pt idx="376">
                  <c:v>45140</c:v>
                </c:pt>
                <c:pt idx="377">
                  <c:v>45139</c:v>
                </c:pt>
                <c:pt idx="378">
                  <c:v>45138</c:v>
                </c:pt>
                <c:pt idx="379">
                  <c:v>45135</c:v>
                </c:pt>
                <c:pt idx="380">
                  <c:v>45134</c:v>
                </c:pt>
                <c:pt idx="381">
                  <c:v>45133</c:v>
                </c:pt>
                <c:pt idx="382">
                  <c:v>45132</c:v>
                </c:pt>
                <c:pt idx="383">
                  <c:v>45131</c:v>
                </c:pt>
                <c:pt idx="384">
                  <c:v>45128</c:v>
                </c:pt>
                <c:pt idx="385">
                  <c:v>45127</c:v>
                </c:pt>
                <c:pt idx="386">
                  <c:v>45126</c:v>
                </c:pt>
                <c:pt idx="387">
                  <c:v>45125</c:v>
                </c:pt>
                <c:pt idx="388">
                  <c:v>45124</c:v>
                </c:pt>
                <c:pt idx="389">
                  <c:v>45121</c:v>
                </c:pt>
                <c:pt idx="390">
                  <c:v>45120</c:v>
                </c:pt>
                <c:pt idx="391">
                  <c:v>45119</c:v>
                </c:pt>
                <c:pt idx="392">
                  <c:v>45118</c:v>
                </c:pt>
                <c:pt idx="393">
                  <c:v>45117</c:v>
                </c:pt>
                <c:pt idx="394">
                  <c:v>45114</c:v>
                </c:pt>
                <c:pt idx="395">
                  <c:v>45113</c:v>
                </c:pt>
                <c:pt idx="396">
                  <c:v>45112</c:v>
                </c:pt>
                <c:pt idx="397">
                  <c:v>45110</c:v>
                </c:pt>
                <c:pt idx="398">
                  <c:v>45107</c:v>
                </c:pt>
                <c:pt idx="399">
                  <c:v>45106</c:v>
                </c:pt>
                <c:pt idx="400">
                  <c:v>45105</c:v>
                </c:pt>
                <c:pt idx="401">
                  <c:v>45104</c:v>
                </c:pt>
                <c:pt idx="402">
                  <c:v>45103</c:v>
                </c:pt>
                <c:pt idx="403">
                  <c:v>45100</c:v>
                </c:pt>
                <c:pt idx="404">
                  <c:v>45099</c:v>
                </c:pt>
                <c:pt idx="405">
                  <c:v>45098</c:v>
                </c:pt>
                <c:pt idx="406">
                  <c:v>45097</c:v>
                </c:pt>
                <c:pt idx="407">
                  <c:v>45093</c:v>
                </c:pt>
                <c:pt idx="408">
                  <c:v>45092</c:v>
                </c:pt>
                <c:pt idx="409">
                  <c:v>45091</c:v>
                </c:pt>
                <c:pt idx="410">
                  <c:v>45090</c:v>
                </c:pt>
                <c:pt idx="411">
                  <c:v>45089</c:v>
                </c:pt>
                <c:pt idx="412">
                  <c:v>45086</c:v>
                </c:pt>
                <c:pt idx="413">
                  <c:v>45085</c:v>
                </c:pt>
                <c:pt idx="414">
                  <c:v>45084</c:v>
                </c:pt>
                <c:pt idx="415">
                  <c:v>45083</c:v>
                </c:pt>
                <c:pt idx="416">
                  <c:v>45082</c:v>
                </c:pt>
                <c:pt idx="417">
                  <c:v>45079</c:v>
                </c:pt>
                <c:pt idx="418">
                  <c:v>45078</c:v>
                </c:pt>
                <c:pt idx="419">
                  <c:v>45077</c:v>
                </c:pt>
                <c:pt idx="420">
                  <c:v>45076</c:v>
                </c:pt>
                <c:pt idx="421">
                  <c:v>45072</c:v>
                </c:pt>
                <c:pt idx="422">
                  <c:v>45071</c:v>
                </c:pt>
                <c:pt idx="423">
                  <c:v>45070</c:v>
                </c:pt>
                <c:pt idx="424">
                  <c:v>45069</c:v>
                </c:pt>
                <c:pt idx="425">
                  <c:v>45068</c:v>
                </c:pt>
                <c:pt idx="426">
                  <c:v>45065</c:v>
                </c:pt>
                <c:pt idx="427">
                  <c:v>45064</c:v>
                </c:pt>
                <c:pt idx="428">
                  <c:v>45063</c:v>
                </c:pt>
                <c:pt idx="429">
                  <c:v>45062</c:v>
                </c:pt>
                <c:pt idx="430">
                  <c:v>45061</c:v>
                </c:pt>
                <c:pt idx="431">
                  <c:v>45058</c:v>
                </c:pt>
                <c:pt idx="432">
                  <c:v>45057</c:v>
                </c:pt>
                <c:pt idx="433">
                  <c:v>45056</c:v>
                </c:pt>
                <c:pt idx="434">
                  <c:v>45055</c:v>
                </c:pt>
                <c:pt idx="435">
                  <c:v>45054</c:v>
                </c:pt>
                <c:pt idx="436">
                  <c:v>45051</c:v>
                </c:pt>
                <c:pt idx="437">
                  <c:v>45050</c:v>
                </c:pt>
                <c:pt idx="438">
                  <c:v>45049</c:v>
                </c:pt>
                <c:pt idx="439">
                  <c:v>45048</c:v>
                </c:pt>
                <c:pt idx="440">
                  <c:v>45047</c:v>
                </c:pt>
                <c:pt idx="441">
                  <c:v>45044</c:v>
                </c:pt>
                <c:pt idx="442">
                  <c:v>45043</c:v>
                </c:pt>
                <c:pt idx="443">
                  <c:v>45042</c:v>
                </c:pt>
                <c:pt idx="444">
                  <c:v>45041</c:v>
                </c:pt>
                <c:pt idx="445">
                  <c:v>45040</c:v>
                </c:pt>
                <c:pt idx="446">
                  <c:v>45037</c:v>
                </c:pt>
                <c:pt idx="447">
                  <c:v>45036</c:v>
                </c:pt>
                <c:pt idx="448">
                  <c:v>45035</c:v>
                </c:pt>
                <c:pt idx="449">
                  <c:v>45034</c:v>
                </c:pt>
                <c:pt idx="450">
                  <c:v>45033</c:v>
                </c:pt>
                <c:pt idx="451">
                  <c:v>45030</c:v>
                </c:pt>
                <c:pt idx="452">
                  <c:v>45029</c:v>
                </c:pt>
                <c:pt idx="453">
                  <c:v>45028</c:v>
                </c:pt>
                <c:pt idx="454">
                  <c:v>45027</c:v>
                </c:pt>
                <c:pt idx="455">
                  <c:v>45026</c:v>
                </c:pt>
                <c:pt idx="456">
                  <c:v>45022</c:v>
                </c:pt>
                <c:pt idx="457">
                  <c:v>45021</c:v>
                </c:pt>
                <c:pt idx="458">
                  <c:v>45020</c:v>
                </c:pt>
                <c:pt idx="459">
                  <c:v>45019</c:v>
                </c:pt>
                <c:pt idx="460">
                  <c:v>45016</c:v>
                </c:pt>
                <c:pt idx="461">
                  <c:v>45015</c:v>
                </c:pt>
                <c:pt idx="462">
                  <c:v>45014</c:v>
                </c:pt>
                <c:pt idx="463">
                  <c:v>45013</c:v>
                </c:pt>
                <c:pt idx="464">
                  <c:v>45012</c:v>
                </c:pt>
                <c:pt idx="465">
                  <c:v>45009</c:v>
                </c:pt>
                <c:pt idx="466">
                  <c:v>45008</c:v>
                </c:pt>
                <c:pt idx="467">
                  <c:v>45007</c:v>
                </c:pt>
                <c:pt idx="468">
                  <c:v>45006</c:v>
                </c:pt>
                <c:pt idx="469">
                  <c:v>45005</c:v>
                </c:pt>
                <c:pt idx="470">
                  <c:v>45002</c:v>
                </c:pt>
                <c:pt idx="471">
                  <c:v>45001</c:v>
                </c:pt>
                <c:pt idx="472">
                  <c:v>45000</c:v>
                </c:pt>
                <c:pt idx="473">
                  <c:v>44999</c:v>
                </c:pt>
                <c:pt idx="474">
                  <c:v>44998</c:v>
                </c:pt>
                <c:pt idx="475">
                  <c:v>44995</c:v>
                </c:pt>
                <c:pt idx="476">
                  <c:v>44994</c:v>
                </c:pt>
                <c:pt idx="477">
                  <c:v>44993</c:v>
                </c:pt>
                <c:pt idx="478">
                  <c:v>44992</c:v>
                </c:pt>
                <c:pt idx="479">
                  <c:v>44991</c:v>
                </c:pt>
                <c:pt idx="480">
                  <c:v>44988</c:v>
                </c:pt>
                <c:pt idx="481">
                  <c:v>44987</c:v>
                </c:pt>
                <c:pt idx="482">
                  <c:v>44986</c:v>
                </c:pt>
                <c:pt idx="483">
                  <c:v>44985</c:v>
                </c:pt>
                <c:pt idx="484">
                  <c:v>44984</c:v>
                </c:pt>
                <c:pt idx="485">
                  <c:v>44981</c:v>
                </c:pt>
                <c:pt idx="486">
                  <c:v>44980</c:v>
                </c:pt>
                <c:pt idx="487">
                  <c:v>44979</c:v>
                </c:pt>
                <c:pt idx="488">
                  <c:v>44978</c:v>
                </c:pt>
                <c:pt idx="489">
                  <c:v>44974</c:v>
                </c:pt>
                <c:pt idx="490">
                  <c:v>44973</c:v>
                </c:pt>
                <c:pt idx="491">
                  <c:v>44972</c:v>
                </c:pt>
                <c:pt idx="492">
                  <c:v>44971</c:v>
                </c:pt>
                <c:pt idx="493">
                  <c:v>44970</c:v>
                </c:pt>
                <c:pt idx="494">
                  <c:v>44967</c:v>
                </c:pt>
                <c:pt idx="495">
                  <c:v>44966</c:v>
                </c:pt>
                <c:pt idx="496">
                  <c:v>44965</c:v>
                </c:pt>
                <c:pt idx="497">
                  <c:v>44964</c:v>
                </c:pt>
                <c:pt idx="498">
                  <c:v>44963</c:v>
                </c:pt>
                <c:pt idx="499">
                  <c:v>44960</c:v>
                </c:pt>
                <c:pt idx="500">
                  <c:v>44959</c:v>
                </c:pt>
                <c:pt idx="501">
                  <c:v>44958</c:v>
                </c:pt>
                <c:pt idx="502">
                  <c:v>44957</c:v>
                </c:pt>
              </c:numCache>
            </c:numRef>
          </c:cat>
          <c:val>
            <c:numRef>
              <c:f>'Bollinger Bands'!$C$2:$C$504</c:f>
              <c:numCache>
                <c:formatCode>General</c:formatCode>
                <c:ptCount val="503"/>
                <c:pt idx="19" formatCode="0.00">
                  <c:v>53.722000000000001</c:v>
                </c:pt>
                <c:pt idx="20" formatCode="0.00">
                  <c:v>53.621000000000002</c:v>
                </c:pt>
                <c:pt idx="21" formatCode="0.00">
                  <c:v>53.509500000000003</c:v>
                </c:pt>
                <c:pt idx="22" formatCode="0.00">
                  <c:v>53.392500000000005</c:v>
                </c:pt>
                <c:pt idx="23" formatCode="0.00">
                  <c:v>53.295000000000002</c:v>
                </c:pt>
                <c:pt idx="24" formatCode="0.00">
                  <c:v>53.379000000000005</c:v>
                </c:pt>
                <c:pt idx="25" formatCode="0.00">
                  <c:v>53.539499999999997</c:v>
                </c:pt>
                <c:pt idx="26" formatCode="0.00">
                  <c:v>53.725499999999997</c:v>
                </c:pt>
                <c:pt idx="27" formatCode="0.00">
                  <c:v>53.970000000000006</c:v>
                </c:pt>
                <c:pt idx="28" formatCode="0.00">
                  <c:v>54.199500000000015</c:v>
                </c:pt>
                <c:pt idx="29" formatCode="0.00">
                  <c:v>54.592000000000006</c:v>
                </c:pt>
                <c:pt idx="30" formatCode="0.00">
                  <c:v>55.036500000000004</c:v>
                </c:pt>
                <c:pt idx="31" formatCode="0.00">
                  <c:v>55.322000000000003</c:v>
                </c:pt>
                <c:pt idx="32" formatCode="0.00">
                  <c:v>55.580499999999986</c:v>
                </c:pt>
                <c:pt idx="33" formatCode="0.00">
                  <c:v>55.857499999999995</c:v>
                </c:pt>
                <c:pt idx="34" formatCode="0.00">
                  <c:v>56.166999999999994</c:v>
                </c:pt>
                <c:pt idx="35" formatCode="0.00">
                  <c:v>56.433500000000002</c:v>
                </c:pt>
                <c:pt idx="36" formatCode="0.00">
                  <c:v>56.599499999999999</c:v>
                </c:pt>
                <c:pt idx="37" formatCode="0.00">
                  <c:v>56.629500000000007</c:v>
                </c:pt>
                <c:pt idx="38" formatCode="0.00">
                  <c:v>56.887500000000003</c:v>
                </c:pt>
                <c:pt idx="39" formatCode="0.00">
                  <c:v>57.093499999999992</c:v>
                </c:pt>
                <c:pt idx="40" formatCode="0.00">
                  <c:v>57.222000000000001</c:v>
                </c:pt>
                <c:pt idx="41" formatCode="0.00">
                  <c:v>57.273499999999999</c:v>
                </c:pt>
                <c:pt idx="42" formatCode="0.00">
                  <c:v>57.353499999999997</c:v>
                </c:pt>
                <c:pt idx="43" formatCode="0.00">
                  <c:v>57.400500000000001</c:v>
                </c:pt>
                <c:pt idx="44" formatCode="0.00">
                  <c:v>57.428000000000011</c:v>
                </c:pt>
                <c:pt idx="45" formatCode="0.00">
                  <c:v>57.271000000000001</c:v>
                </c:pt>
                <c:pt idx="46" formatCode="0.00">
                  <c:v>57.030000000000008</c:v>
                </c:pt>
                <c:pt idx="47" formatCode="0.00">
                  <c:v>56.715999999999994</c:v>
                </c:pt>
                <c:pt idx="48" formatCode="0.00">
                  <c:v>56.404499999999999</c:v>
                </c:pt>
                <c:pt idx="49" formatCode="0.00">
                  <c:v>55.884</c:v>
                </c:pt>
                <c:pt idx="50" formatCode="0.00">
                  <c:v>55.285000000000004</c:v>
                </c:pt>
                <c:pt idx="51" formatCode="0.00">
                  <c:v>54.887999999999998</c:v>
                </c:pt>
                <c:pt idx="52" formatCode="0.00">
                  <c:v>54.630500000000005</c:v>
                </c:pt>
                <c:pt idx="53" formatCode="0.00">
                  <c:v>54.380999999999993</c:v>
                </c:pt>
                <c:pt idx="54" formatCode="0.00">
                  <c:v>54.142999999999994</c:v>
                </c:pt>
                <c:pt idx="55" formatCode="0.00">
                  <c:v>53.870999999999995</c:v>
                </c:pt>
                <c:pt idx="56" formatCode="0.00">
                  <c:v>53.676499999999997</c:v>
                </c:pt>
                <c:pt idx="57" formatCode="0.00">
                  <c:v>53.469999999999992</c:v>
                </c:pt>
                <c:pt idx="58" formatCode="0.00">
                  <c:v>53.153499999999994</c:v>
                </c:pt>
                <c:pt idx="59" formatCode="0.00">
                  <c:v>52.905499999999996</c:v>
                </c:pt>
                <c:pt idx="60" formatCode="0.00">
                  <c:v>52.771000000000001</c:v>
                </c:pt>
                <c:pt idx="61" formatCode="0.00">
                  <c:v>52.6</c:v>
                </c:pt>
                <c:pt idx="62" formatCode="0.00">
                  <c:v>52.284000000000006</c:v>
                </c:pt>
                <c:pt idx="63" formatCode="0.00">
                  <c:v>51.919000000000004</c:v>
                </c:pt>
                <c:pt idx="64" formatCode="0.00">
                  <c:v>51.573500000000003</c:v>
                </c:pt>
                <c:pt idx="65" formatCode="0.00">
                  <c:v>51.39050000000001</c:v>
                </c:pt>
                <c:pt idx="66" formatCode="0.00">
                  <c:v>51.222500000000004</c:v>
                </c:pt>
                <c:pt idx="67" formatCode="0.00">
                  <c:v>51.161499999999997</c:v>
                </c:pt>
                <c:pt idx="68" formatCode="0.00">
                  <c:v>51.107499999999995</c:v>
                </c:pt>
                <c:pt idx="69" formatCode="0.00">
                  <c:v>51.168000000000006</c:v>
                </c:pt>
                <c:pt idx="70" formatCode="0.00">
                  <c:v>51.264499999999998</c:v>
                </c:pt>
                <c:pt idx="71" formatCode="0.00">
                  <c:v>51.25</c:v>
                </c:pt>
                <c:pt idx="72" formatCode="0.00">
                  <c:v>51.204999999999998</c:v>
                </c:pt>
                <c:pt idx="73" formatCode="0.00">
                  <c:v>51.070499999999996</c:v>
                </c:pt>
                <c:pt idx="74" formatCode="0.00">
                  <c:v>50.850999999999992</c:v>
                </c:pt>
                <c:pt idx="75" formatCode="0.00">
                  <c:v>50.669999999999995</c:v>
                </c:pt>
                <c:pt idx="76" formatCode="0.00">
                  <c:v>50.481999999999999</c:v>
                </c:pt>
                <c:pt idx="77" formatCode="0.00">
                  <c:v>50.365999999999993</c:v>
                </c:pt>
                <c:pt idx="78" formatCode="0.00">
                  <c:v>50.270999999999994</c:v>
                </c:pt>
                <c:pt idx="79" formatCode="0.00">
                  <c:v>50.216999999999999</c:v>
                </c:pt>
                <c:pt idx="80" formatCode="0.00">
                  <c:v>50.218499999999992</c:v>
                </c:pt>
                <c:pt idx="81" formatCode="0.00">
                  <c:v>50.201499999999996</c:v>
                </c:pt>
                <c:pt idx="82" formatCode="0.00">
                  <c:v>50.393999999999991</c:v>
                </c:pt>
                <c:pt idx="83" formatCode="0.00">
                  <c:v>50.635000000000005</c:v>
                </c:pt>
                <c:pt idx="84" formatCode="0.00">
                  <c:v>50.972999999999999</c:v>
                </c:pt>
                <c:pt idx="85" formatCode="0.00">
                  <c:v>51.398000000000003</c:v>
                </c:pt>
                <c:pt idx="86" formatCode="0.00">
                  <c:v>51.753999999999998</c:v>
                </c:pt>
                <c:pt idx="87" formatCode="0.00">
                  <c:v>52.003</c:v>
                </c:pt>
                <c:pt idx="88" formatCode="0.00">
                  <c:v>52.287500000000001</c:v>
                </c:pt>
                <c:pt idx="89" formatCode="0.00">
                  <c:v>52.4405</c:v>
                </c:pt>
                <c:pt idx="90" formatCode="0.00">
                  <c:v>52.557999999999993</c:v>
                </c:pt>
                <c:pt idx="91" formatCode="0.00">
                  <c:v>52.724000000000004</c:v>
                </c:pt>
                <c:pt idx="92" formatCode="0.00">
                  <c:v>52.797499999999999</c:v>
                </c:pt>
                <c:pt idx="93" formatCode="0.00">
                  <c:v>52.936500000000002</c:v>
                </c:pt>
                <c:pt idx="94" formatCode="0.00">
                  <c:v>53.150000000000013</c:v>
                </c:pt>
                <c:pt idx="95" formatCode="0.00">
                  <c:v>53.448000000000015</c:v>
                </c:pt>
                <c:pt idx="96" formatCode="0.00">
                  <c:v>53.552499999999995</c:v>
                </c:pt>
                <c:pt idx="97" formatCode="0.00">
                  <c:v>53.610500000000002</c:v>
                </c:pt>
                <c:pt idx="98" formatCode="0.00">
                  <c:v>53.698</c:v>
                </c:pt>
                <c:pt idx="99" formatCode="0.00">
                  <c:v>53.756000000000007</c:v>
                </c:pt>
                <c:pt idx="100" formatCode="0.00">
                  <c:v>53.775500000000001</c:v>
                </c:pt>
                <c:pt idx="101" formatCode="0.00">
                  <c:v>53.999000000000002</c:v>
                </c:pt>
                <c:pt idx="102" formatCode="0.00">
                  <c:v>54.18549999999999</c:v>
                </c:pt>
                <c:pt idx="103" formatCode="0.00">
                  <c:v>54.308500000000002</c:v>
                </c:pt>
                <c:pt idx="104" formatCode="0.00">
                  <c:v>54.286500000000004</c:v>
                </c:pt>
                <c:pt idx="105" formatCode="0.00">
                  <c:v>54.204499999999996</c:v>
                </c:pt>
                <c:pt idx="106" formatCode="0.00">
                  <c:v>54.178500000000007</c:v>
                </c:pt>
                <c:pt idx="107" formatCode="0.00">
                  <c:v>54.217000000000006</c:v>
                </c:pt>
                <c:pt idx="108" formatCode="0.00">
                  <c:v>54.224000000000011</c:v>
                </c:pt>
                <c:pt idx="109" formatCode="0.00">
                  <c:v>54.252500000000012</c:v>
                </c:pt>
                <c:pt idx="110" formatCode="0.00">
                  <c:v>54.246500000000005</c:v>
                </c:pt>
                <c:pt idx="111" formatCode="0.00">
                  <c:v>54.275000000000013</c:v>
                </c:pt>
                <c:pt idx="112" formatCode="0.00">
                  <c:v>54.287999999999997</c:v>
                </c:pt>
                <c:pt idx="113" formatCode="0.00">
                  <c:v>54.327500000000008</c:v>
                </c:pt>
                <c:pt idx="114" formatCode="0.00">
                  <c:v>54.328999999999994</c:v>
                </c:pt>
                <c:pt idx="115" formatCode="0.00">
                  <c:v>54.23299999999999</c:v>
                </c:pt>
                <c:pt idx="116" formatCode="0.00">
                  <c:v>54.220999999999989</c:v>
                </c:pt>
                <c:pt idx="117" formatCode="0.00">
                  <c:v>54.328250000000004</c:v>
                </c:pt>
                <c:pt idx="118" formatCode="0.00">
                  <c:v>54.358750000000001</c:v>
                </c:pt>
                <c:pt idx="119" formatCode="0.00">
                  <c:v>54.489749999999994</c:v>
                </c:pt>
                <c:pt idx="120" formatCode="0.00">
                  <c:v>54.54175</c:v>
                </c:pt>
                <c:pt idx="121" formatCode="0.00">
                  <c:v>54.431249999999999</c:v>
                </c:pt>
                <c:pt idx="122" formatCode="0.00">
                  <c:v>54.351750000000003</c:v>
                </c:pt>
                <c:pt idx="123" formatCode="0.00">
                  <c:v>54.386250000000004</c:v>
                </c:pt>
                <c:pt idx="124" formatCode="0.00">
                  <c:v>54.599249999999998</c:v>
                </c:pt>
                <c:pt idx="125" formatCode="0.00">
                  <c:v>54.832250000000009</c:v>
                </c:pt>
                <c:pt idx="126" formatCode="0.00">
                  <c:v>55.327750000000016</c:v>
                </c:pt>
                <c:pt idx="127" formatCode="0.00">
                  <c:v>55.784250000000007</c:v>
                </c:pt>
                <c:pt idx="128" formatCode="0.00">
                  <c:v>56.219749999999998</c:v>
                </c:pt>
                <c:pt idx="129" formatCode="0.00">
                  <c:v>56.563250000000004</c:v>
                </c:pt>
                <c:pt idx="130" formatCode="0.00">
                  <c:v>56.895250000000011</c:v>
                </c:pt>
                <c:pt idx="131" formatCode="0.00">
                  <c:v>57.176250000000003</c:v>
                </c:pt>
                <c:pt idx="132" formatCode="0.00">
                  <c:v>57.502750000000006</c:v>
                </c:pt>
                <c:pt idx="133" formatCode="0.00">
                  <c:v>57.878250000000001</c:v>
                </c:pt>
                <c:pt idx="134" formatCode="0.00">
                  <c:v>58.320749999999997</c:v>
                </c:pt>
                <c:pt idx="135" formatCode="0.00">
                  <c:v>58.817250000000001</c:v>
                </c:pt>
                <c:pt idx="136" formatCode="0.00">
                  <c:v>59.489750000000001</c:v>
                </c:pt>
                <c:pt idx="137" formatCode="0.00">
                  <c:v>60.06</c:v>
                </c:pt>
                <c:pt idx="138" formatCode="0.00">
                  <c:v>60.478999999999985</c:v>
                </c:pt>
                <c:pt idx="139" formatCode="0.00">
                  <c:v>60.755499999999984</c:v>
                </c:pt>
                <c:pt idx="140" formatCode="0.00">
                  <c:v>60.959499999999991</c:v>
                </c:pt>
                <c:pt idx="141" formatCode="0.00">
                  <c:v>61.157499999999992</c:v>
                </c:pt>
                <c:pt idx="142" formatCode="0.00">
                  <c:v>61.30899999999999</c:v>
                </c:pt>
                <c:pt idx="143" formatCode="0.00">
                  <c:v>61.304999999999993</c:v>
                </c:pt>
                <c:pt idx="144" formatCode="0.00">
                  <c:v>61.260000000000005</c:v>
                </c:pt>
                <c:pt idx="145" formatCode="0.00">
                  <c:v>61.163500000000013</c:v>
                </c:pt>
                <c:pt idx="146" formatCode="0.00">
                  <c:v>60.819500000000019</c:v>
                </c:pt>
                <c:pt idx="147" formatCode="0.00">
                  <c:v>60.444000000000003</c:v>
                </c:pt>
                <c:pt idx="148" formatCode="0.00">
                  <c:v>60.1995</c:v>
                </c:pt>
                <c:pt idx="149" formatCode="0.00">
                  <c:v>60.022000000000006</c:v>
                </c:pt>
                <c:pt idx="150" formatCode="0.00">
                  <c:v>59.975000000000001</c:v>
                </c:pt>
                <c:pt idx="151" formatCode="0.00">
                  <c:v>59.936500000000002</c:v>
                </c:pt>
                <c:pt idx="152" formatCode="0.00">
                  <c:v>59.894500000000008</c:v>
                </c:pt>
                <c:pt idx="153" formatCode="0.00">
                  <c:v>59.783500000000018</c:v>
                </c:pt>
                <c:pt idx="154" formatCode="0.00">
                  <c:v>59.555500000000009</c:v>
                </c:pt>
                <c:pt idx="155" formatCode="0.00">
                  <c:v>59.256000000000014</c:v>
                </c:pt>
                <c:pt idx="156" formatCode="0.00">
                  <c:v>58.943500000000007</c:v>
                </c:pt>
                <c:pt idx="157" formatCode="0.00">
                  <c:v>58.613500000000002</c:v>
                </c:pt>
                <c:pt idx="158" formatCode="0.00">
                  <c:v>58.542000000000009</c:v>
                </c:pt>
                <c:pt idx="159" formatCode="0.00">
                  <c:v>58.680500000000009</c:v>
                </c:pt>
                <c:pt idx="160" formatCode="0.00">
                  <c:v>59.038000000000011</c:v>
                </c:pt>
                <c:pt idx="161" formatCode="0.00">
                  <c:v>59.475499999999997</c:v>
                </c:pt>
                <c:pt idx="162" formatCode="0.00">
                  <c:v>59.888999999999996</c:v>
                </c:pt>
                <c:pt idx="163" formatCode="0.00">
                  <c:v>60.431500000000007</c:v>
                </c:pt>
                <c:pt idx="164" formatCode="0.00">
                  <c:v>60.751999999999995</c:v>
                </c:pt>
                <c:pt idx="165" formatCode="0.00">
                  <c:v>61.085999999999999</c:v>
                </c:pt>
                <c:pt idx="166" formatCode="0.00">
                  <c:v>61.433000000000007</c:v>
                </c:pt>
                <c:pt idx="167" formatCode="0.00">
                  <c:v>61.756000000000007</c:v>
                </c:pt>
                <c:pt idx="168" formatCode="0.00">
                  <c:v>61.87850000000001</c:v>
                </c:pt>
                <c:pt idx="169" formatCode="0.00">
                  <c:v>61.982500000000002</c:v>
                </c:pt>
                <c:pt idx="170" formatCode="0.00">
                  <c:v>62.061500000000002</c:v>
                </c:pt>
                <c:pt idx="171" formatCode="0.00">
                  <c:v>62.117999999999995</c:v>
                </c:pt>
                <c:pt idx="172" formatCode="0.00">
                  <c:v>62.224499999999992</c:v>
                </c:pt>
                <c:pt idx="173" formatCode="0.00">
                  <c:v>62.417999999999985</c:v>
                </c:pt>
                <c:pt idx="174" formatCode="0.00">
                  <c:v>62.716999999999999</c:v>
                </c:pt>
                <c:pt idx="175" formatCode="0.00">
                  <c:v>63.040000000000006</c:v>
                </c:pt>
                <c:pt idx="176" formatCode="0.00">
                  <c:v>63.303500000000021</c:v>
                </c:pt>
                <c:pt idx="177" formatCode="0.00">
                  <c:v>63.564499999999995</c:v>
                </c:pt>
                <c:pt idx="178" formatCode="0.00">
                  <c:v>63.786000000000001</c:v>
                </c:pt>
                <c:pt idx="179" formatCode="0.00">
                  <c:v>63.800999999999974</c:v>
                </c:pt>
                <c:pt idx="180" formatCode="0.00">
                  <c:v>63.653499999999994</c:v>
                </c:pt>
                <c:pt idx="181" formatCode="0.00">
                  <c:v>63.446000000000005</c:v>
                </c:pt>
                <c:pt idx="182" formatCode="0.00">
                  <c:v>63.354499999999994</c:v>
                </c:pt>
                <c:pt idx="183" formatCode="0.00">
                  <c:v>63.172000000000004</c:v>
                </c:pt>
                <c:pt idx="184" formatCode="0.00">
                  <c:v>63.067499999999995</c:v>
                </c:pt>
                <c:pt idx="185" formatCode="0.00">
                  <c:v>62.945000000000007</c:v>
                </c:pt>
                <c:pt idx="186" formatCode="0.00">
                  <c:v>62.683500000000002</c:v>
                </c:pt>
                <c:pt idx="187" formatCode="0.00">
                  <c:v>62.472000000000016</c:v>
                </c:pt>
                <c:pt idx="188" formatCode="0.00">
                  <c:v>62.887500000000003</c:v>
                </c:pt>
                <c:pt idx="189" formatCode="0.00">
                  <c:v>63.281000000000006</c:v>
                </c:pt>
                <c:pt idx="190" formatCode="0.00">
                  <c:v>63.671500000000016</c:v>
                </c:pt>
                <c:pt idx="191" formatCode="0.00">
                  <c:v>64.012</c:v>
                </c:pt>
                <c:pt idx="192" formatCode="0.00">
                  <c:v>64.268000000000001</c:v>
                </c:pt>
                <c:pt idx="193" formatCode="0.00">
                  <c:v>64.409500000000008</c:v>
                </c:pt>
                <c:pt idx="194" formatCode="0.00">
                  <c:v>64.618000000000009</c:v>
                </c:pt>
                <c:pt idx="195" formatCode="0.00">
                  <c:v>64.734000000000009</c:v>
                </c:pt>
                <c:pt idx="196" formatCode="0.00">
                  <c:v>64.873499999999993</c:v>
                </c:pt>
                <c:pt idx="197" formatCode="0.00">
                  <c:v>65.036000000000001</c:v>
                </c:pt>
                <c:pt idx="198" formatCode="0.00">
                  <c:v>65.181999999999988</c:v>
                </c:pt>
                <c:pt idx="199" formatCode="0.00">
                  <c:v>65.421499999999995</c:v>
                </c:pt>
                <c:pt idx="200" formatCode="0.00">
                  <c:v>65.632499999999993</c:v>
                </c:pt>
                <c:pt idx="201" formatCode="0.00">
                  <c:v>65.888999999999996</c:v>
                </c:pt>
                <c:pt idx="202" formatCode="0.00">
                  <c:v>66.137</c:v>
                </c:pt>
                <c:pt idx="203" formatCode="0.00">
                  <c:v>66.393000000000015</c:v>
                </c:pt>
                <c:pt idx="204" formatCode="0.00">
                  <c:v>66.688000000000017</c:v>
                </c:pt>
                <c:pt idx="205" formatCode="0.00">
                  <c:v>66.870000000000019</c:v>
                </c:pt>
                <c:pt idx="206" formatCode="0.00">
                  <c:v>67.120500000000007</c:v>
                </c:pt>
                <c:pt idx="207" formatCode="0.00">
                  <c:v>67.436499999999995</c:v>
                </c:pt>
                <c:pt idx="208" formatCode="0.00">
                  <c:v>67.207000000000008</c:v>
                </c:pt>
                <c:pt idx="209" formatCode="0.00">
                  <c:v>67.032499999999999</c:v>
                </c:pt>
                <c:pt idx="210" formatCode="0.00">
                  <c:v>66.883499999999998</c:v>
                </c:pt>
                <c:pt idx="211" formatCode="0.00">
                  <c:v>66.948000000000008</c:v>
                </c:pt>
                <c:pt idx="212" formatCode="0.00">
                  <c:v>66.987500000000011</c:v>
                </c:pt>
                <c:pt idx="213" formatCode="0.00">
                  <c:v>66.933999999999997</c:v>
                </c:pt>
                <c:pt idx="214" formatCode="0.00">
                  <c:v>66.804000000000002</c:v>
                </c:pt>
                <c:pt idx="215" formatCode="0.00">
                  <c:v>66.872499999999988</c:v>
                </c:pt>
                <c:pt idx="216" formatCode="0.00">
                  <c:v>66.939999999999984</c:v>
                </c:pt>
                <c:pt idx="217" formatCode="0.00">
                  <c:v>66.998499999999993</c:v>
                </c:pt>
                <c:pt idx="218" formatCode="0.00">
                  <c:v>66.96599999999998</c:v>
                </c:pt>
                <c:pt idx="219" formatCode="0.00">
                  <c:v>66.851499999999987</c:v>
                </c:pt>
                <c:pt idx="220" formatCode="0.00">
                  <c:v>66.827999999999989</c:v>
                </c:pt>
                <c:pt idx="221" formatCode="0.00">
                  <c:v>66.846500000000006</c:v>
                </c:pt>
                <c:pt idx="222" formatCode="0.00">
                  <c:v>66.914000000000001</c:v>
                </c:pt>
                <c:pt idx="223" formatCode="0.00">
                  <c:v>67.100500000000011</c:v>
                </c:pt>
                <c:pt idx="224" formatCode="0.00">
                  <c:v>67.313000000000017</c:v>
                </c:pt>
                <c:pt idx="225" formatCode="0.00">
                  <c:v>67.623500000000007</c:v>
                </c:pt>
                <c:pt idx="226" formatCode="0.00">
                  <c:v>67.794499999999999</c:v>
                </c:pt>
                <c:pt idx="227" formatCode="0.00">
                  <c:v>67.947000000000003</c:v>
                </c:pt>
                <c:pt idx="228" formatCode="0.00">
                  <c:v>68.11699999999999</c:v>
                </c:pt>
                <c:pt idx="229" formatCode="0.00">
                  <c:v>68.243499999999997</c:v>
                </c:pt>
                <c:pt idx="230" formatCode="0.00">
                  <c:v>68.438999999999993</c:v>
                </c:pt>
                <c:pt idx="231" formatCode="0.00">
                  <c:v>68.587500000000006</c:v>
                </c:pt>
                <c:pt idx="232" formatCode="0.00">
                  <c:v>68.738</c:v>
                </c:pt>
                <c:pt idx="233" formatCode="0.00">
                  <c:v>69.051999999999992</c:v>
                </c:pt>
                <c:pt idx="234" formatCode="0.00">
                  <c:v>69.362499999999983</c:v>
                </c:pt>
                <c:pt idx="235" formatCode="0.00">
                  <c:v>69.67049999999999</c:v>
                </c:pt>
                <c:pt idx="236" formatCode="0.00">
                  <c:v>69.796000000000006</c:v>
                </c:pt>
                <c:pt idx="237" formatCode="0.00">
                  <c:v>70.227000000000004</c:v>
                </c:pt>
                <c:pt idx="238" formatCode="0.00">
                  <c:v>70.678500000000014</c:v>
                </c:pt>
                <c:pt idx="239" formatCode="0.00">
                  <c:v>71.203499999999991</c:v>
                </c:pt>
                <c:pt idx="240" formatCode="0.00">
                  <c:v>71.778500000000008</c:v>
                </c:pt>
                <c:pt idx="241" formatCode="0.00">
                  <c:v>72.217000000000013</c:v>
                </c:pt>
                <c:pt idx="242" formatCode="0.00">
                  <c:v>72.448499999999996</c:v>
                </c:pt>
                <c:pt idx="243" formatCode="0.00">
                  <c:v>72.820000000000007</c:v>
                </c:pt>
                <c:pt idx="244" formatCode="0.00">
                  <c:v>73.078499999999991</c:v>
                </c:pt>
                <c:pt idx="245" formatCode="0.00">
                  <c:v>73.1875</c:v>
                </c:pt>
                <c:pt idx="246" formatCode="0.00">
                  <c:v>73.430499999999995</c:v>
                </c:pt>
                <c:pt idx="247" formatCode="0.00">
                  <c:v>73.742499999999993</c:v>
                </c:pt>
                <c:pt idx="248" formatCode="0.00">
                  <c:v>74.055999999999983</c:v>
                </c:pt>
                <c:pt idx="249" formatCode="0.00">
                  <c:v>74.455500000000001</c:v>
                </c:pt>
                <c:pt idx="250" formatCode="0.00">
                  <c:v>74.595999999999975</c:v>
                </c:pt>
                <c:pt idx="251" formatCode="0.00">
                  <c:v>74.339500000000001</c:v>
                </c:pt>
                <c:pt idx="252" formatCode="0.00">
                  <c:v>74.275499999999994</c:v>
                </c:pt>
                <c:pt idx="253" formatCode="0.00">
                  <c:v>74.212500000000006</c:v>
                </c:pt>
                <c:pt idx="254" formatCode="0.00">
                  <c:v>74.090999999999994</c:v>
                </c:pt>
                <c:pt idx="255" formatCode="0.00">
                  <c:v>73.86999999999999</c:v>
                </c:pt>
                <c:pt idx="256" formatCode="0.00">
                  <c:v>73.754999999999995</c:v>
                </c:pt>
                <c:pt idx="257" formatCode="0.00">
                  <c:v>73.409500000000008</c:v>
                </c:pt>
                <c:pt idx="258" formatCode="0.00">
                  <c:v>73.156999999999996</c:v>
                </c:pt>
                <c:pt idx="259" formatCode="0.00">
                  <c:v>72.861500000000007</c:v>
                </c:pt>
                <c:pt idx="260" formatCode="0.00">
                  <c:v>72.4345</c:v>
                </c:pt>
                <c:pt idx="261" formatCode="0.00">
                  <c:v>72.040999999999997</c:v>
                </c:pt>
                <c:pt idx="262" formatCode="0.00">
                  <c:v>71.714499999999987</c:v>
                </c:pt>
                <c:pt idx="263" formatCode="0.00">
                  <c:v>71.288999999999973</c:v>
                </c:pt>
                <c:pt idx="264" formatCode="0.00">
                  <c:v>71.036499999999975</c:v>
                </c:pt>
                <c:pt idx="265" formatCode="0.00">
                  <c:v>71.047999999999973</c:v>
                </c:pt>
                <c:pt idx="266" formatCode="0.00">
                  <c:v>71.225499999999982</c:v>
                </c:pt>
                <c:pt idx="267" formatCode="0.00">
                  <c:v>71.370999999999981</c:v>
                </c:pt>
                <c:pt idx="268" formatCode="0.00">
                  <c:v>71.412000000000006</c:v>
                </c:pt>
                <c:pt idx="269" formatCode="0.00">
                  <c:v>71.441500000000005</c:v>
                </c:pt>
                <c:pt idx="270" formatCode="0.00">
                  <c:v>71.76700000000001</c:v>
                </c:pt>
                <c:pt idx="271" formatCode="0.00">
                  <c:v>72.493000000000009</c:v>
                </c:pt>
                <c:pt idx="272" formatCode="0.00">
                  <c:v>73.059499999999986</c:v>
                </c:pt>
                <c:pt idx="273" formatCode="0.00">
                  <c:v>73.614500000000007</c:v>
                </c:pt>
                <c:pt idx="274" formatCode="0.00">
                  <c:v>74.257500000000007</c:v>
                </c:pt>
                <c:pt idx="275" formatCode="0.00">
                  <c:v>74.908999999999992</c:v>
                </c:pt>
                <c:pt idx="276" formatCode="0.00">
                  <c:v>75.740499999999997</c:v>
                </c:pt>
                <c:pt idx="277" formatCode="0.00">
                  <c:v>76.491500000000002</c:v>
                </c:pt>
                <c:pt idx="278" formatCode="0.00">
                  <c:v>77.13000000000001</c:v>
                </c:pt>
                <c:pt idx="279" formatCode="0.00">
                  <c:v>77.948499999999996</c:v>
                </c:pt>
                <c:pt idx="280" formatCode="0.00">
                  <c:v>78.710499999999996</c:v>
                </c:pt>
                <c:pt idx="281" formatCode="0.00">
                  <c:v>79.328499999999991</c:v>
                </c:pt>
                <c:pt idx="282" formatCode="0.00">
                  <c:v>80.098499999999987</c:v>
                </c:pt>
                <c:pt idx="283" formatCode="0.00">
                  <c:v>80.78</c:v>
                </c:pt>
                <c:pt idx="284" formatCode="0.00">
                  <c:v>81.418999999999997</c:v>
                </c:pt>
                <c:pt idx="285" formatCode="0.00">
                  <c:v>81.917500000000004</c:v>
                </c:pt>
                <c:pt idx="286" formatCode="0.00">
                  <c:v>82.081000000000003</c:v>
                </c:pt>
                <c:pt idx="287" formatCode="0.00">
                  <c:v>82.141500000000008</c:v>
                </c:pt>
                <c:pt idx="288" formatCode="0.00">
                  <c:v>82.336500000000001</c:v>
                </c:pt>
                <c:pt idx="289" formatCode="0.00">
                  <c:v>82.605000000000004</c:v>
                </c:pt>
                <c:pt idx="290" formatCode="0.00">
                  <c:v>82.798000000000002</c:v>
                </c:pt>
                <c:pt idx="291" formatCode="0.00">
                  <c:v>82.846000000000004</c:v>
                </c:pt>
                <c:pt idx="292" formatCode="0.00">
                  <c:v>82.584000000000003</c:v>
                </c:pt>
                <c:pt idx="293" formatCode="0.00">
                  <c:v>82.347999999999999</c:v>
                </c:pt>
                <c:pt idx="294" formatCode="0.00">
                  <c:v>81.99199999999999</c:v>
                </c:pt>
                <c:pt idx="295" formatCode="0.00">
                  <c:v>81.560000000000016</c:v>
                </c:pt>
                <c:pt idx="296" formatCode="0.00">
                  <c:v>80.903499999999994</c:v>
                </c:pt>
                <c:pt idx="297" formatCode="0.00">
                  <c:v>80.215499999999992</c:v>
                </c:pt>
                <c:pt idx="298" formatCode="0.00">
                  <c:v>79.5655</c:v>
                </c:pt>
                <c:pt idx="299" formatCode="0.00">
                  <c:v>78.817499999999995</c:v>
                </c:pt>
                <c:pt idx="300" formatCode="0.00">
                  <c:v>78.220999999999989</c:v>
                </c:pt>
                <c:pt idx="301" formatCode="0.00">
                  <c:v>77.694499999999991</c:v>
                </c:pt>
                <c:pt idx="302" formatCode="0.00">
                  <c:v>77.118499999999997</c:v>
                </c:pt>
                <c:pt idx="303" formatCode="0.00">
                  <c:v>76.338999999999984</c:v>
                </c:pt>
                <c:pt idx="304" formatCode="0.00">
                  <c:v>75.208500000000001</c:v>
                </c:pt>
                <c:pt idx="305" formatCode="0.00">
                  <c:v>74.136000000000024</c:v>
                </c:pt>
                <c:pt idx="306" formatCode="0.00">
                  <c:v>73.233000000000004</c:v>
                </c:pt>
                <c:pt idx="307" formatCode="0.00">
                  <c:v>72.484000000000009</c:v>
                </c:pt>
                <c:pt idx="308" formatCode="0.00">
                  <c:v>71.748999999999995</c:v>
                </c:pt>
                <c:pt idx="309" formatCode="0.00">
                  <c:v>70.819999999999993</c:v>
                </c:pt>
                <c:pt idx="310" formatCode="0.00">
                  <c:v>69.932999999999993</c:v>
                </c:pt>
                <c:pt idx="311" formatCode="0.00">
                  <c:v>68.912499999999994</c:v>
                </c:pt>
                <c:pt idx="312" formatCode="0.00">
                  <c:v>68.155000000000001</c:v>
                </c:pt>
                <c:pt idx="313" formatCode="0.00">
                  <c:v>67.41</c:v>
                </c:pt>
                <c:pt idx="314" formatCode="0.00">
                  <c:v>66.712000000000018</c:v>
                </c:pt>
                <c:pt idx="315" formatCode="0.00">
                  <c:v>66.137500000000017</c:v>
                </c:pt>
                <c:pt idx="316" formatCode="0.00">
                  <c:v>65.664999999999992</c:v>
                </c:pt>
                <c:pt idx="317" formatCode="0.00">
                  <c:v>65.239000000000004</c:v>
                </c:pt>
                <c:pt idx="318" formatCode="0.00">
                  <c:v>64.938999999999993</c:v>
                </c:pt>
                <c:pt idx="319" formatCode="0.00">
                  <c:v>64.542999999999992</c:v>
                </c:pt>
                <c:pt idx="320" formatCode="0.00">
                  <c:v>64.161500000000004</c:v>
                </c:pt>
                <c:pt idx="321" formatCode="0.00">
                  <c:v>63.925000000000011</c:v>
                </c:pt>
                <c:pt idx="322" formatCode="0.00">
                  <c:v>63.733000000000018</c:v>
                </c:pt>
                <c:pt idx="323" formatCode="0.00">
                  <c:v>63.817000000000007</c:v>
                </c:pt>
                <c:pt idx="324" formatCode="0.00">
                  <c:v>63.980000000000004</c:v>
                </c:pt>
                <c:pt idx="325" formatCode="0.00">
                  <c:v>63.976500000000009</c:v>
                </c:pt>
                <c:pt idx="326" formatCode="0.00">
                  <c:v>64.113500000000016</c:v>
                </c:pt>
                <c:pt idx="327" formatCode="0.00">
                  <c:v>64.155999999999992</c:v>
                </c:pt>
                <c:pt idx="328" formatCode="0.00">
                  <c:v>64.099500000000006</c:v>
                </c:pt>
                <c:pt idx="329" formatCode="0.00">
                  <c:v>64.114499999999992</c:v>
                </c:pt>
                <c:pt idx="330" formatCode="0.00">
                  <c:v>63.988</c:v>
                </c:pt>
                <c:pt idx="331" formatCode="0.00">
                  <c:v>64.049499999999995</c:v>
                </c:pt>
                <c:pt idx="332" formatCode="0.00">
                  <c:v>64.203499999999991</c:v>
                </c:pt>
                <c:pt idx="333" formatCode="0.00">
                  <c:v>64.203000000000003</c:v>
                </c:pt>
                <c:pt idx="334" formatCode="0.00">
                  <c:v>64.36999999999999</c:v>
                </c:pt>
                <c:pt idx="335" formatCode="0.00">
                  <c:v>64.476000000000013</c:v>
                </c:pt>
                <c:pt idx="336" formatCode="0.00">
                  <c:v>64.545000000000002</c:v>
                </c:pt>
                <c:pt idx="337" formatCode="0.00">
                  <c:v>64.491500000000002</c:v>
                </c:pt>
                <c:pt idx="338" formatCode="0.00">
                  <c:v>64.355500000000006</c:v>
                </c:pt>
                <c:pt idx="339" formatCode="0.00">
                  <c:v>64.384</c:v>
                </c:pt>
                <c:pt idx="340" formatCode="0.00">
                  <c:v>64.329000000000008</c:v>
                </c:pt>
                <c:pt idx="341" formatCode="0.00">
                  <c:v>64.270499999999998</c:v>
                </c:pt>
                <c:pt idx="342" formatCode="0.00">
                  <c:v>64.109999999999985</c:v>
                </c:pt>
                <c:pt idx="343" formatCode="0.00">
                  <c:v>63.894000000000005</c:v>
                </c:pt>
                <c:pt idx="344" formatCode="0.00">
                  <c:v>63.762999999999998</c:v>
                </c:pt>
                <c:pt idx="345" formatCode="0.00">
                  <c:v>63.851500000000009</c:v>
                </c:pt>
                <c:pt idx="346" formatCode="0.00">
                  <c:v>63.947500000000005</c:v>
                </c:pt>
                <c:pt idx="347" formatCode="0.00">
                  <c:v>63.933500000000002</c:v>
                </c:pt>
                <c:pt idx="348" formatCode="0.00">
                  <c:v>63.988500000000002</c:v>
                </c:pt>
                <c:pt idx="349" formatCode="0.00">
                  <c:v>64.06049999999999</c:v>
                </c:pt>
                <c:pt idx="350" formatCode="0.00">
                  <c:v>64.280999999999992</c:v>
                </c:pt>
                <c:pt idx="351" formatCode="0.00">
                  <c:v>64.592499999999987</c:v>
                </c:pt>
                <c:pt idx="352" formatCode="0.00">
                  <c:v>65.04249999999999</c:v>
                </c:pt>
                <c:pt idx="353" formatCode="0.00">
                  <c:v>65.568999999999988</c:v>
                </c:pt>
                <c:pt idx="354" formatCode="0.00">
                  <c:v>66.068249999999992</c:v>
                </c:pt>
                <c:pt idx="355" formatCode="0.00">
                  <c:v>66.517749999999992</c:v>
                </c:pt>
                <c:pt idx="356" formatCode="0.00">
                  <c:v>67.046249999999986</c:v>
                </c:pt>
                <c:pt idx="357" formatCode="0.00">
                  <c:v>67.671749999999989</c:v>
                </c:pt>
                <c:pt idx="358" formatCode="0.00">
                  <c:v>68.190249999999992</c:v>
                </c:pt>
                <c:pt idx="359" formatCode="0.00">
                  <c:v>68.569749999999985</c:v>
                </c:pt>
                <c:pt idx="360" formatCode="0.00">
                  <c:v>68.96074999999999</c:v>
                </c:pt>
                <c:pt idx="361" formatCode="0.00">
                  <c:v>69.402250000000009</c:v>
                </c:pt>
                <c:pt idx="362" formatCode="0.00">
                  <c:v>69.841750000000005</c:v>
                </c:pt>
                <c:pt idx="363" formatCode="0.00">
                  <c:v>70.220749999999981</c:v>
                </c:pt>
                <c:pt idx="364" formatCode="0.00">
                  <c:v>70.717249999999993</c:v>
                </c:pt>
                <c:pt idx="365" formatCode="0.00">
                  <c:v>71.218749999999986</c:v>
                </c:pt>
                <c:pt idx="366" formatCode="0.00">
                  <c:v>71.582250000000002</c:v>
                </c:pt>
                <c:pt idx="367" formatCode="0.00">
                  <c:v>72.14725</c:v>
                </c:pt>
                <c:pt idx="368" formatCode="0.00">
                  <c:v>72.871749999999992</c:v>
                </c:pt>
                <c:pt idx="369" formatCode="0.00">
                  <c:v>73.46275</c:v>
                </c:pt>
                <c:pt idx="370" formatCode="0.00">
                  <c:v>74.016750000000002</c:v>
                </c:pt>
                <c:pt idx="371" formatCode="0.00">
                  <c:v>74.555750000000018</c:v>
                </c:pt>
                <c:pt idx="372" formatCode="0.00">
                  <c:v>75.043750000000003</c:v>
                </c:pt>
                <c:pt idx="373" formatCode="0.00">
                  <c:v>75.624250000000018</c:v>
                </c:pt>
                <c:pt idx="374" formatCode="0.00">
                  <c:v>75.972000000000008</c:v>
                </c:pt>
                <c:pt idx="375" formatCode="0.00">
                  <c:v>76.439499999999995</c:v>
                </c:pt>
                <c:pt idx="376" formatCode="0.00">
                  <c:v>77.527000000000015</c:v>
                </c:pt>
                <c:pt idx="377" formatCode="0.00">
                  <c:v>78.736999999999995</c:v>
                </c:pt>
                <c:pt idx="378" formatCode="0.00">
                  <c:v>80.20750000000001</c:v>
                </c:pt>
                <c:pt idx="379" formatCode="0.00">
                  <c:v>81.573499999999996</c:v>
                </c:pt>
                <c:pt idx="380" formatCode="0.00">
                  <c:v>82.778999999999996</c:v>
                </c:pt>
                <c:pt idx="381" formatCode="0.00">
                  <c:v>83.944500000000005</c:v>
                </c:pt>
                <c:pt idx="382" formatCode="0.00">
                  <c:v>85.02000000000001</c:v>
                </c:pt>
                <c:pt idx="383" formatCode="0.00">
                  <c:v>86.180999999999997</c:v>
                </c:pt>
                <c:pt idx="384" formatCode="0.00">
                  <c:v>87.329000000000008</c:v>
                </c:pt>
                <c:pt idx="385" formatCode="0.00">
                  <c:v>88.233999999999995</c:v>
                </c:pt>
                <c:pt idx="386" formatCode="0.00">
                  <c:v>89.340999999999994</c:v>
                </c:pt>
                <c:pt idx="387" formatCode="0.00">
                  <c:v>90.214499999999987</c:v>
                </c:pt>
                <c:pt idx="388" formatCode="0.00">
                  <c:v>90.919499999999999</c:v>
                </c:pt>
                <c:pt idx="389" formatCode="0.00">
                  <c:v>91.7</c:v>
                </c:pt>
                <c:pt idx="390" formatCode="0.00">
                  <c:v>92.446999999999989</c:v>
                </c:pt>
                <c:pt idx="391" formatCode="0.00">
                  <c:v>93.028499999999994</c:v>
                </c:pt>
                <c:pt idx="392" formatCode="0.00">
                  <c:v>93.588999999999999</c:v>
                </c:pt>
                <c:pt idx="393" formatCode="0.00">
                  <c:v>93.658999999999992</c:v>
                </c:pt>
                <c:pt idx="394" formatCode="0.00">
                  <c:v>93.717500000000001</c:v>
                </c:pt>
                <c:pt idx="395" formatCode="0.00">
                  <c:v>93.717000000000013</c:v>
                </c:pt>
                <c:pt idx="396" formatCode="0.00">
                  <c:v>93.171000000000021</c:v>
                </c:pt>
                <c:pt idx="397" formatCode="0.00">
                  <c:v>92.511000000000024</c:v>
                </c:pt>
                <c:pt idx="398" formatCode="0.00">
                  <c:v>91.659000000000006</c:v>
                </c:pt>
                <c:pt idx="399" formatCode="0.00">
                  <c:v>90.964000000000013</c:v>
                </c:pt>
                <c:pt idx="400" formatCode="0.00">
                  <c:v>90.550000000000011</c:v>
                </c:pt>
                <c:pt idx="401" formatCode="0.00">
                  <c:v>90.105000000000004</c:v>
                </c:pt>
                <c:pt idx="402" formatCode="0.00">
                  <c:v>89.584000000000017</c:v>
                </c:pt>
                <c:pt idx="403" formatCode="0.00">
                  <c:v>89.203500000000005</c:v>
                </c:pt>
                <c:pt idx="404" formatCode="0.00">
                  <c:v>88.973500000000016</c:v>
                </c:pt>
                <c:pt idx="405" formatCode="0.00">
                  <c:v>89.051500000000004</c:v>
                </c:pt>
                <c:pt idx="406" formatCode="0.00">
                  <c:v>89.0565</c:v>
                </c:pt>
                <c:pt idx="407" formatCode="0.00">
                  <c:v>89.12</c:v>
                </c:pt>
                <c:pt idx="408" formatCode="0.00">
                  <c:v>89.248500000000007</c:v>
                </c:pt>
                <c:pt idx="409" formatCode="0.00">
                  <c:v>89.388999999999996</c:v>
                </c:pt>
                <c:pt idx="410" formatCode="0.00">
                  <c:v>89.373499999999993</c:v>
                </c:pt>
                <c:pt idx="411" formatCode="0.00">
                  <c:v>89.324000000000012</c:v>
                </c:pt>
                <c:pt idx="412" formatCode="0.00">
                  <c:v>89.200500000000005</c:v>
                </c:pt>
                <c:pt idx="413" formatCode="0.00">
                  <c:v>89.287000000000006</c:v>
                </c:pt>
                <c:pt idx="414" formatCode="0.00">
                  <c:v>89.527499999999989</c:v>
                </c:pt>
                <c:pt idx="415" formatCode="0.00">
                  <c:v>89.884499999999989</c:v>
                </c:pt>
                <c:pt idx="416" formatCode="0.00">
                  <c:v>89.889499999999984</c:v>
                </c:pt>
                <c:pt idx="417" formatCode="0.00">
                  <c:v>89.86999999999999</c:v>
                </c:pt>
                <c:pt idx="418" formatCode="0.00">
                  <c:v>89.739000000000004</c:v>
                </c:pt>
                <c:pt idx="419" formatCode="0.00">
                  <c:v>89.50500000000001</c:v>
                </c:pt>
                <c:pt idx="420" formatCode="0.00">
                  <c:v>89.256999999999991</c:v>
                </c:pt>
                <c:pt idx="421" formatCode="0.00">
                  <c:v>89.158999999999992</c:v>
                </c:pt>
                <c:pt idx="422" formatCode="0.00">
                  <c:v>89.24199999999999</c:v>
                </c:pt>
                <c:pt idx="423" formatCode="0.00">
                  <c:v>89.1785</c:v>
                </c:pt>
                <c:pt idx="424" formatCode="0.00">
                  <c:v>88.972999999999985</c:v>
                </c:pt>
                <c:pt idx="425" formatCode="0.00">
                  <c:v>88.742499999999993</c:v>
                </c:pt>
                <c:pt idx="426" formatCode="0.00">
                  <c:v>88.387999999999991</c:v>
                </c:pt>
                <c:pt idx="427" formatCode="0.00">
                  <c:v>88.277500000000003</c:v>
                </c:pt>
                <c:pt idx="428" formatCode="0.00">
                  <c:v>88.228499999999997</c:v>
                </c:pt>
                <c:pt idx="429" formatCode="0.00">
                  <c:v>88.108000000000004</c:v>
                </c:pt>
                <c:pt idx="430" formatCode="0.00">
                  <c:v>88.358500000000006</c:v>
                </c:pt>
                <c:pt idx="431" formatCode="0.00">
                  <c:v>88.567000000000007</c:v>
                </c:pt>
                <c:pt idx="432" formatCode="0.00">
                  <c:v>88.822999999999993</c:v>
                </c:pt>
                <c:pt idx="433" formatCode="0.00">
                  <c:v>89.186999999999983</c:v>
                </c:pt>
                <c:pt idx="434" formatCode="0.00">
                  <c:v>89.443999999999988</c:v>
                </c:pt>
                <c:pt idx="435" formatCode="0.00">
                  <c:v>89.580500000000001</c:v>
                </c:pt>
                <c:pt idx="436" formatCode="0.00">
                  <c:v>89.817999999999998</c:v>
                </c:pt>
                <c:pt idx="437" formatCode="0.00">
                  <c:v>90.194999999999979</c:v>
                </c:pt>
                <c:pt idx="438" formatCode="0.00">
                  <c:v>91.043749999999989</c:v>
                </c:pt>
                <c:pt idx="439" formatCode="0.00">
                  <c:v>91.950749999999985</c:v>
                </c:pt>
                <c:pt idx="440" formatCode="0.00">
                  <c:v>92.639749999999978</c:v>
                </c:pt>
                <c:pt idx="441" formatCode="0.00">
                  <c:v>93.414749999999998</c:v>
                </c:pt>
                <c:pt idx="442" formatCode="0.00">
                  <c:v>94.127749999999992</c:v>
                </c:pt>
                <c:pt idx="443" formatCode="0.00">
                  <c:v>94.633250000000004</c:v>
                </c:pt>
                <c:pt idx="444" formatCode="0.00">
                  <c:v>95.15025</c:v>
                </c:pt>
                <c:pt idx="445" formatCode="0.00">
                  <c:v>95.791250000000005</c:v>
                </c:pt>
                <c:pt idx="446" formatCode="0.00">
                  <c:v>96.438749999999985</c:v>
                </c:pt>
                <c:pt idx="447" formatCode="0.00">
                  <c:v>96.931249999999991</c:v>
                </c:pt>
                <c:pt idx="448" formatCode="0.00">
                  <c:v>97.300749999999994</c:v>
                </c:pt>
                <c:pt idx="449" formatCode="0.00">
                  <c:v>97.776749999999993</c:v>
                </c:pt>
                <c:pt idx="450" formatCode="0.00">
                  <c:v>98.040249999999986</c:v>
                </c:pt>
                <c:pt idx="451" formatCode="0.00">
                  <c:v>98.43274999999997</c:v>
                </c:pt>
                <c:pt idx="452" formatCode="0.00">
                  <c:v>98.650749999999988</c:v>
                </c:pt>
                <c:pt idx="453" formatCode="0.00">
                  <c:v>98.916749999999993</c:v>
                </c:pt>
                <c:pt idx="454" formatCode="0.00">
                  <c:v>99.463249999999988</c:v>
                </c:pt>
                <c:pt idx="455" formatCode="0.00">
                  <c:v>99.976250000000007</c:v>
                </c:pt>
                <c:pt idx="456" formatCode="0.00">
                  <c:v>100.67925</c:v>
                </c:pt>
                <c:pt idx="457" formatCode="0.00">
                  <c:v>101.31525000000002</c:v>
                </c:pt>
                <c:pt idx="458" formatCode="0.00">
                  <c:v>101.84900000000002</c:v>
                </c:pt>
                <c:pt idx="459" formatCode="0.00">
                  <c:v>102.30200000000001</c:v>
                </c:pt>
                <c:pt idx="460" formatCode="0.00">
                  <c:v>103.05500000000002</c:v>
                </c:pt>
                <c:pt idx="461" formatCode="0.00">
                  <c:v>103.4425</c:v>
                </c:pt>
                <c:pt idx="462" formatCode="0.00">
                  <c:v>103.8015</c:v>
                </c:pt>
                <c:pt idx="463" formatCode="0.00">
                  <c:v>104.16600000000001</c:v>
                </c:pt>
                <c:pt idx="464" formatCode="0.00">
                  <c:v>104.4915</c:v>
                </c:pt>
                <c:pt idx="465" formatCode="0.00">
                  <c:v>104.69199999999998</c:v>
                </c:pt>
                <c:pt idx="466" formatCode="0.00">
                  <c:v>105.09400000000001</c:v>
                </c:pt>
                <c:pt idx="467" formatCode="0.00">
                  <c:v>105.52999999999997</c:v>
                </c:pt>
                <c:pt idx="468" formatCode="0.00">
                  <c:v>106.04649999999999</c:v>
                </c:pt>
                <c:pt idx="469" formatCode="0.00">
                  <c:v>106.35599999999997</c:v>
                </c:pt>
                <c:pt idx="470" formatCode="0.00">
                  <c:v>106.46699999999998</c:v>
                </c:pt>
                <c:pt idx="471" formatCode="0.00">
                  <c:v>106.56199999999998</c:v>
                </c:pt>
                <c:pt idx="472" formatCode="0.00">
                  <c:v>106.76299999999999</c:v>
                </c:pt>
                <c:pt idx="473" formatCode="0.00">
                  <c:v>106.89449999999999</c:v>
                </c:pt>
                <c:pt idx="474" formatCode="0.00">
                  <c:v>106.89799999999998</c:v>
                </c:pt>
                <c:pt idx="475" formatCode="0.00">
                  <c:v>107.04499999999999</c:v>
                </c:pt>
                <c:pt idx="476" formatCode="0.00">
                  <c:v>107.229</c:v>
                </c:pt>
                <c:pt idx="477" formatCode="0.00">
                  <c:v>107.62449999999998</c:v>
                </c:pt>
                <c:pt idx="478" formatCode="0.00">
                  <c:v>107.93700000000001</c:v>
                </c:pt>
                <c:pt idx="479" formatCode="0.00">
                  <c:v>108.46350000000002</c:v>
                </c:pt>
                <c:pt idx="480" formatCode="0.00">
                  <c:v>108.96800000000003</c:v>
                </c:pt>
                <c:pt idx="481" formatCode="0.00">
                  <c:v>109.45200000000003</c:v>
                </c:pt>
                <c:pt idx="482" formatCode="0.00">
                  <c:v>109.98250000000003</c:v>
                </c:pt>
                <c:pt idx="483" formatCode="0.00">
                  <c:v>110.80000000000003</c:v>
                </c:pt>
                <c:pt idx="484" formatCode="0.00">
                  <c:v>111.58600000000001</c:v>
                </c:pt>
                <c:pt idx="485" formatCode="0.00">
                  <c:v>112.44875000000002</c:v>
                </c:pt>
                <c:pt idx="486" formatCode="0.00">
                  <c:v>113.52325</c:v>
                </c:pt>
                <c:pt idx="487" formatCode="0.00">
                  <c:v>114.39775</c:v>
                </c:pt>
                <c:pt idx="488" formatCode="0.00">
                  <c:v>115.00449999999998</c:v>
                </c:pt>
                <c:pt idx="489" formatCode="0.00">
                  <c:v>116.0705</c:v>
                </c:pt>
                <c:pt idx="490" formatCode="0.00">
                  <c:v>117.31899999999999</c:v>
                </c:pt>
                <c:pt idx="491" formatCode="0.00">
                  <c:v>119.2105</c:v>
                </c:pt>
                <c:pt idx="492" formatCode="0.00">
                  <c:v>120.66100000000002</c:v>
                </c:pt>
                <c:pt idx="493" formatCode="0.00">
                  <c:v>122.25899999999999</c:v>
                </c:pt>
                <c:pt idx="494" formatCode="0.00">
                  <c:v>123.67999999999999</c:v>
                </c:pt>
                <c:pt idx="495" formatCode="0.00">
                  <c:v>125.25899999999999</c:v>
                </c:pt>
                <c:pt idx="496" formatCode="0.00">
                  <c:v>127.07300000000001</c:v>
                </c:pt>
                <c:pt idx="497" formatCode="0.00">
                  <c:v>128.66550000000001</c:v>
                </c:pt>
                <c:pt idx="498" formatCode="0.00">
                  <c:v>130.09800000000001</c:v>
                </c:pt>
                <c:pt idx="499" formatCode="0.00">
                  <c:v>131.53400000000002</c:v>
                </c:pt>
                <c:pt idx="500" formatCode="0.00">
                  <c:v>132.87299999999999</c:v>
                </c:pt>
                <c:pt idx="501" formatCode="0.00">
                  <c:v>133.929</c:v>
                </c:pt>
                <c:pt idx="502" formatCode="0.00">
                  <c:v>134.89399999999998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7BF-4528-A7E1-32987513913C}"/>
            </c:ext>
          </c:extLst>
        </c:ser>
        <c:ser>
          <c:idx val="2"/>
          <c:order val="2"/>
          <c:tx>
            <c:strRef>
              <c:f>'Bollinger Bands'!$E$1</c:f>
              <c:strCache>
                <c:ptCount val="1"/>
                <c:pt idx="0">
                  <c:v>Lower Band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'Bollinger Bands'!$A$2:$A$504</c:f>
              <c:numCache>
                <c:formatCode>m/d/yyyy</c:formatCode>
                <c:ptCount val="503"/>
                <c:pt idx="0">
                  <c:v>45688</c:v>
                </c:pt>
                <c:pt idx="1">
                  <c:v>45687</c:v>
                </c:pt>
                <c:pt idx="2">
                  <c:v>45686</c:v>
                </c:pt>
                <c:pt idx="3">
                  <c:v>45685</c:v>
                </c:pt>
                <c:pt idx="4">
                  <c:v>45684</c:v>
                </c:pt>
                <c:pt idx="5">
                  <c:v>45681</c:v>
                </c:pt>
                <c:pt idx="6">
                  <c:v>45680</c:v>
                </c:pt>
                <c:pt idx="7">
                  <c:v>45679</c:v>
                </c:pt>
                <c:pt idx="8">
                  <c:v>45678</c:v>
                </c:pt>
                <c:pt idx="9">
                  <c:v>45674</c:v>
                </c:pt>
                <c:pt idx="10">
                  <c:v>45673</c:v>
                </c:pt>
                <c:pt idx="11">
                  <c:v>45672</c:v>
                </c:pt>
                <c:pt idx="12">
                  <c:v>45671</c:v>
                </c:pt>
                <c:pt idx="13">
                  <c:v>45670</c:v>
                </c:pt>
                <c:pt idx="14">
                  <c:v>45667</c:v>
                </c:pt>
                <c:pt idx="15">
                  <c:v>45665</c:v>
                </c:pt>
                <c:pt idx="16">
                  <c:v>45664</c:v>
                </c:pt>
                <c:pt idx="17">
                  <c:v>45663</c:v>
                </c:pt>
                <c:pt idx="18">
                  <c:v>45660</c:v>
                </c:pt>
                <c:pt idx="19">
                  <c:v>45659</c:v>
                </c:pt>
                <c:pt idx="20">
                  <c:v>45657</c:v>
                </c:pt>
                <c:pt idx="21">
                  <c:v>45656</c:v>
                </c:pt>
                <c:pt idx="22">
                  <c:v>45653</c:v>
                </c:pt>
                <c:pt idx="23">
                  <c:v>45652</c:v>
                </c:pt>
                <c:pt idx="24">
                  <c:v>45650</c:v>
                </c:pt>
                <c:pt idx="25">
                  <c:v>45649</c:v>
                </c:pt>
                <c:pt idx="26">
                  <c:v>45646</c:v>
                </c:pt>
                <c:pt idx="27">
                  <c:v>45645</c:v>
                </c:pt>
                <c:pt idx="28">
                  <c:v>45644</c:v>
                </c:pt>
                <c:pt idx="29">
                  <c:v>45643</c:v>
                </c:pt>
                <c:pt idx="30">
                  <c:v>45642</c:v>
                </c:pt>
                <c:pt idx="31">
                  <c:v>45639</c:v>
                </c:pt>
                <c:pt idx="32">
                  <c:v>45638</c:v>
                </c:pt>
                <c:pt idx="33">
                  <c:v>45637</c:v>
                </c:pt>
                <c:pt idx="34">
                  <c:v>45636</c:v>
                </c:pt>
                <c:pt idx="35">
                  <c:v>45635</c:v>
                </c:pt>
                <c:pt idx="36">
                  <c:v>45632</c:v>
                </c:pt>
                <c:pt idx="37">
                  <c:v>45631</c:v>
                </c:pt>
                <c:pt idx="38">
                  <c:v>45630</c:v>
                </c:pt>
                <c:pt idx="39">
                  <c:v>45629</c:v>
                </c:pt>
                <c:pt idx="40">
                  <c:v>45628</c:v>
                </c:pt>
                <c:pt idx="41">
                  <c:v>45625</c:v>
                </c:pt>
                <c:pt idx="42">
                  <c:v>45623</c:v>
                </c:pt>
                <c:pt idx="43">
                  <c:v>45622</c:v>
                </c:pt>
                <c:pt idx="44">
                  <c:v>45621</c:v>
                </c:pt>
                <c:pt idx="45">
                  <c:v>45618</c:v>
                </c:pt>
                <c:pt idx="46">
                  <c:v>45617</c:v>
                </c:pt>
                <c:pt idx="47">
                  <c:v>45616</c:v>
                </c:pt>
                <c:pt idx="48">
                  <c:v>45615</c:v>
                </c:pt>
                <c:pt idx="49">
                  <c:v>45614</c:v>
                </c:pt>
                <c:pt idx="50">
                  <c:v>45611</c:v>
                </c:pt>
                <c:pt idx="51">
                  <c:v>45610</c:v>
                </c:pt>
                <c:pt idx="52">
                  <c:v>45609</c:v>
                </c:pt>
                <c:pt idx="53">
                  <c:v>45608</c:v>
                </c:pt>
                <c:pt idx="54">
                  <c:v>45607</c:v>
                </c:pt>
                <c:pt idx="55">
                  <c:v>45604</c:v>
                </c:pt>
                <c:pt idx="56">
                  <c:v>45603</c:v>
                </c:pt>
                <c:pt idx="57">
                  <c:v>45602</c:v>
                </c:pt>
                <c:pt idx="58">
                  <c:v>45601</c:v>
                </c:pt>
                <c:pt idx="59">
                  <c:v>45600</c:v>
                </c:pt>
                <c:pt idx="60">
                  <c:v>45597</c:v>
                </c:pt>
                <c:pt idx="61">
                  <c:v>45596</c:v>
                </c:pt>
                <c:pt idx="62">
                  <c:v>45595</c:v>
                </c:pt>
                <c:pt idx="63">
                  <c:v>45594</c:v>
                </c:pt>
                <c:pt idx="64">
                  <c:v>45593</c:v>
                </c:pt>
                <c:pt idx="65">
                  <c:v>45590</c:v>
                </c:pt>
                <c:pt idx="66">
                  <c:v>45589</c:v>
                </c:pt>
                <c:pt idx="67">
                  <c:v>45588</c:v>
                </c:pt>
                <c:pt idx="68">
                  <c:v>45587</c:v>
                </c:pt>
                <c:pt idx="69">
                  <c:v>45586</c:v>
                </c:pt>
                <c:pt idx="70">
                  <c:v>45583</c:v>
                </c:pt>
                <c:pt idx="71">
                  <c:v>45582</c:v>
                </c:pt>
                <c:pt idx="72">
                  <c:v>45581</c:v>
                </c:pt>
                <c:pt idx="73">
                  <c:v>45580</c:v>
                </c:pt>
                <c:pt idx="74">
                  <c:v>45579</c:v>
                </c:pt>
                <c:pt idx="75">
                  <c:v>45576</c:v>
                </c:pt>
                <c:pt idx="76">
                  <c:v>45575</c:v>
                </c:pt>
                <c:pt idx="77">
                  <c:v>45574</c:v>
                </c:pt>
                <c:pt idx="78">
                  <c:v>45573</c:v>
                </c:pt>
                <c:pt idx="79">
                  <c:v>45572</c:v>
                </c:pt>
                <c:pt idx="80">
                  <c:v>45569</c:v>
                </c:pt>
                <c:pt idx="81">
                  <c:v>45568</c:v>
                </c:pt>
                <c:pt idx="82">
                  <c:v>45567</c:v>
                </c:pt>
                <c:pt idx="83">
                  <c:v>45566</c:v>
                </c:pt>
                <c:pt idx="84">
                  <c:v>45565</c:v>
                </c:pt>
                <c:pt idx="85">
                  <c:v>45562</c:v>
                </c:pt>
                <c:pt idx="86">
                  <c:v>45561</c:v>
                </c:pt>
                <c:pt idx="87">
                  <c:v>45560</c:v>
                </c:pt>
                <c:pt idx="88">
                  <c:v>45559</c:v>
                </c:pt>
                <c:pt idx="89">
                  <c:v>45558</c:v>
                </c:pt>
                <c:pt idx="90">
                  <c:v>45555</c:v>
                </c:pt>
                <c:pt idx="91">
                  <c:v>45554</c:v>
                </c:pt>
                <c:pt idx="92">
                  <c:v>45553</c:v>
                </c:pt>
                <c:pt idx="93">
                  <c:v>45552</c:v>
                </c:pt>
                <c:pt idx="94">
                  <c:v>45551</c:v>
                </c:pt>
                <c:pt idx="95">
                  <c:v>45548</c:v>
                </c:pt>
                <c:pt idx="96">
                  <c:v>45547</c:v>
                </c:pt>
                <c:pt idx="97">
                  <c:v>45546</c:v>
                </c:pt>
                <c:pt idx="98">
                  <c:v>45545</c:v>
                </c:pt>
                <c:pt idx="99">
                  <c:v>45544</c:v>
                </c:pt>
                <c:pt idx="100">
                  <c:v>45541</c:v>
                </c:pt>
                <c:pt idx="101">
                  <c:v>45540</c:v>
                </c:pt>
                <c:pt idx="102">
                  <c:v>45539</c:v>
                </c:pt>
                <c:pt idx="103">
                  <c:v>45538</c:v>
                </c:pt>
                <c:pt idx="104">
                  <c:v>45534</c:v>
                </c:pt>
                <c:pt idx="105">
                  <c:v>45533</c:v>
                </c:pt>
                <c:pt idx="106">
                  <c:v>45532</c:v>
                </c:pt>
                <c:pt idx="107">
                  <c:v>45531</c:v>
                </c:pt>
                <c:pt idx="108">
                  <c:v>45530</c:v>
                </c:pt>
                <c:pt idx="109">
                  <c:v>45527</c:v>
                </c:pt>
                <c:pt idx="110">
                  <c:v>45526</c:v>
                </c:pt>
                <c:pt idx="111">
                  <c:v>45525</c:v>
                </c:pt>
                <c:pt idx="112">
                  <c:v>45524</c:v>
                </c:pt>
                <c:pt idx="113">
                  <c:v>45523</c:v>
                </c:pt>
                <c:pt idx="114">
                  <c:v>45520</c:v>
                </c:pt>
                <c:pt idx="115">
                  <c:v>45519</c:v>
                </c:pt>
                <c:pt idx="116">
                  <c:v>45518</c:v>
                </c:pt>
                <c:pt idx="117">
                  <c:v>45517</c:v>
                </c:pt>
                <c:pt idx="118">
                  <c:v>45516</c:v>
                </c:pt>
                <c:pt idx="119">
                  <c:v>45513</c:v>
                </c:pt>
                <c:pt idx="120">
                  <c:v>45512</c:v>
                </c:pt>
                <c:pt idx="121">
                  <c:v>45511</c:v>
                </c:pt>
                <c:pt idx="122">
                  <c:v>45510</c:v>
                </c:pt>
                <c:pt idx="123">
                  <c:v>45509</c:v>
                </c:pt>
                <c:pt idx="124">
                  <c:v>45506</c:v>
                </c:pt>
                <c:pt idx="125">
                  <c:v>45505</c:v>
                </c:pt>
                <c:pt idx="126">
                  <c:v>45504</c:v>
                </c:pt>
                <c:pt idx="127">
                  <c:v>45503</c:v>
                </c:pt>
                <c:pt idx="128">
                  <c:v>45502</c:v>
                </c:pt>
                <c:pt idx="129">
                  <c:v>45499</c:v>
                </c:pt>
                <c:pt idx="130">
                  <c:v>45498</c:v>
                </c:pt>
                <c:pt idx="131">
                  <c:v>45497</c:v>
                </c:pt>
                <c:pt idx="132">
                  <c:v>45496</c:v>
                </c:pt>
                <c:pt idx="133">
                  <c:v>45495</c:v>
                </c:pt>
                <c:pt idx="134">
                  <c:v>45492</c:v>
                </c:pt>
                <c:pt idx="135">
                  <c:v>45491</c:v>
                </c:pt>
                <c:pt idx="136">
                  <c:v>45490</c:v>
                </c:pt>
                <c:pt idx="137">
                  <c:v>45489</c:v>
                </c:pt>
                <c:pt idx="138">
                  <c:v>45488</c:v>
                </c:pt>
                <c:pt idx="139">
                  <c:v>45485</c:v>
                </c:pt>
                <c:pt idx="140">
                  <c:v>45484</c:v>
                </c:pt>
                <c:pt idx="141">
                  <c:v>45483</c:v>
                </c:pt>
                <c:pt idx="142">
                  <c:v>45482</c:v>
                </c:pt>
                <c:pt idx="143">
                  <c:v>45481</c:v>
                </c:pt>
                <c:pt idx="144">
                  <c:v>45478</c:v>
                </c:pt>
                <c:pt idx="145">
                  <c:v>45476</c:v>
                </c:pt>
                <c:pt idx="146">
                  <c:v>45475</c:v>
                </c:pt>
                <c:pt idx="147">
                  <c:v>45474</c:v>
                </c:pt>
                <c:pt idx="148">
                  <c:v>45471</c:v>
                </c:pt>
                <c:pt idx="149">
                  <c:v>45470</c:v>
                </c:pt>
                <c:pt idx="150">
                  <c:v>45469</c:v>
                </c:pt>
                <c:pt idx="151">
                  <c:v>45468</c:v>
                </c:pt>
                <c:pt idx="152">
                  <c:v>45467</c:v>
                </c:pt>
                <c:pt idx="153">
                  <c:v>45464</c:v>
                </c:pt>
                <c:pt idx="154">
                  <c:v>45463</c:v>
                </c:pt>
                <c:pt idx="155">
                  <c:v>45461</c:v>
                </c:pt>
                <c:pt idx="156">
                  <c:v>45460</c:v>
                </c:pt>
                <c:pt idx="157">
                  <c:v>45457</c:v>
                </c:pt>
                <c:pt idx="158">
                  <c:v>45456</c:v>
                </c:pt>
                <c:pt idx="159">
                  <c:v>45455</c:v>
                </c:pt>
                <c:pt idx="160">
                  <c:v>45454</c:v>
                </c:pt>
                <c:pt idx="161">
                  <c:v>45453</c:v>
                </c:pt>
                <c:pt idx="162">
                  <c:v>45450</c:v>
                </c:pt>
                <c:pt idx="163">
                  <c:v>45449</c:v>
                </c:pt>
                <c:pt idx="164">
                  <c:v>45448</c:v>
                </c:pt>
                <c:pt idx="165">
                  <c:v>45447</c:v>
                </c:pt>
                <c:pt idx="166">
                  <c:v>45446</c:v>
                </c:pt>
                <c:pt idx="167">
                  <c:v>45443</c:v>
                </c:pt>
                <c:pt idx="168">
                  <c:v>45442</c:v>
                </c:pt>
                <c:pt idx="169">
                  <c:v>45441</c:v>
                </c:pt>
                <c:pt idx="170">
                  <c:v>45440</c:v>
                </c:pt>
                <c:pt idx="171">
                  <c:v>45436</c:v>
                </c:pt>
                <c:pt idx="172">
                  <c:v>45435</c:v>
                </c:pt>
                <c:pt idx="173">
                  <c:v>45434</c:v>
                </c:pt>
                <c:pt idx="174">
                  <c:v>45433</c:v>
                </c:pt>
                <c:pt idx="175">
                  <c:v>45432</c:v>
                </c:pt>
                <c:pt idx="176">
                  <c:v>45429</c:v>
                </c:pt>
                <c:pt idx="177">
                  <c:v>45428</c:v>
                </c:pt>
                <c:pt idx="178">
                  <c:v>45427</c:v>
                </c:pt>
                <c:pt idx="179">
                  <c:v>45426</c:v>
                </c:pt>
                <c:pt idx="180">
                  <c:v>45425</c:v>
                </c:pt>
                <c:pt idx="181">
                  <c:v>45422</c:v>
                </c:pt>
                <c:pt idx="182">
                  <c:v>45421</c:v>
                </c:pt>
                <c:pt idx="183">
                  <c:v>45420</c:v>
                </c:pt>
                <c:pt idx="184">
                  <c:v>45419</c:v>
                </c:pt>
                <c:pt idx="185">
                  <c:v>45418</c:v>
                </c:pt>
                <c:pt idx="186">
                  <c:v>45415</c:v>
                </c:pt>
                <c:pt idx="187">
                  <c:v>45414</c:v>
                </c:pt>
                <c:pt idx="188">
                  <c:v>45413</c:v>
                </c:pt>
                <c:pt idx="189">
                  <c:v>45412</c:v>
                </c:pt>
                <c:pt idx="190">
                  <c:v>45411</c:v>
                </c:pt>
                <c:pt idx="191">
                  <c:v>45408</c:v>
                </c:pt>
                <c:pt idx="192">
                  <c:v>45407</c:v>
                </c:pt>
                <c:pt idx="193">
                  <c:v>45406</c:v>
                </c:pt>
                <c:pt idx="194">
                  <c:v>45405</c:v>
                </c:pt>
                <c:pt idx="195">
                  <c:v>45404</c:v>
                </c:pt>
                <c:pt idx="196">
                  <c:v>45401</c:v>
                </c:pt>
                <c:pt idx="197">
                  <c:v>45400</c:v>
                </c:pt>
                <c:pt idx="198">
                  <c:v>45399</c:v>
                </c:pt>
                <c:pt idx="199">
                  <c:v>45398</c:v>
                </c:pt>
                <c:pt idx="200">
                  <c:v>45397</c:v>
                </c:pt>
                <c:pt idx="201">
                  <c:v>45394</c:v>
                </c:pt>
                <c:pt idx="202">
                  <c:v>45393</c:v>
                </c:pt>
                <c:pt idx="203">
                  <c:v>45392</c:v>
                </c:pt>
                <c:pt idx="204">
                  <c:v>45391</c:v>
                </c:pt>
                <c:pt idx="205">
                  <c:v>45390</c:v>
                </c:pt>
                <c:pt idx="206">
                  <c:v>45387</c:v>
                </c:pt>
                <c:pt idx="207">
                  <c:v>45386</c:v>
                </c:pt>
                <c:pt idx="208">
                  <c:v>45385</c:v>
                </c:pt>
                <c:pt idx="209">
                  <c:v>45384</c:v>
                </c:pt>
                <c:pt idx="210">
                  <c:v>45383</c:v>
                </c:pt>
                <c:pt idx="211">
                  <c:v>45379</c:v>
                </c:pt>
                <c:pt idx="212">
                  <c:v>45378</c:v>
                </c:pt>
                <c:pt idx="213">
                  <c:v>45377</c:v>
                </c:pt>
                <c:pt idx="214">
                  <c:v>45376</c:v>
                </c:pt>
                <c:pt idx="215">
                  <c:v>45373</c:v>
                </c:pt>
                <c:pt idx="216">
                  <c:v>45372</c:v>
                </c:pt>
                <c:pt idx="217">
                  <c:v>45371</c:v>
                </c:pt>
                <c:pt idx="218">
                  <c:v>45370</c:v>
                </c:pt>
                <c:pt idx="219">
                  <c:v>45369</c:v>
                </c:pt>
                <c:pt idx="220">
                  <c:v>45366</c:v>
                </c:pt>
                <c:pt idx="221">
                  <c:v>45365</c:v>
                </c:pt>
                <c:pt idx="222">
                  <c:v>45364</c:v>
                </c:pt>
                <c:pt idx="223">
                  <c:v>45363</c:v>
                </c:pt>
                <c:pt idx="224">
                  <c:v>45362</c:v>
                </c:pt>
                <c:pt idx="225">
                  <c:v>45359</c:v>
                </c:pt>
                <c:pt idx="226">
                  <c:v>45358</c:v>
                </c:pt>
                <c:pt idx="227">
                  <c:v>45357</c:v>
                </c:pt>
                <c:pt idx="228">
                  <c:v>45356</c:v>
                </c:pt>
                <c:pt idx="229">
                  <c:v>45355</c:v>
                </c:pt>
                <c:pt idx="230">
                  <c:v>45352</c:v>
                </c:pt>
                <c:pt idx="231">
                  <c:v>45351</c:v>
                </c:pt>
                <c:pt idx="232">
                  <c:v>45350</c:v>
                </c:pt>
                <c:pt idx="233">
                  <c:v>45349</c:v>
                </c:pt>
                <c:pt idx="234">
                  <c:v>45348</c:v>
                </c:pt>
                <c:pt idx="235">
                  <c:v>45345</c:v>
                </c:pt>
                <c:pt idx="236">
                  <c:v>45344</c:v>
                </c:pt>
                <c:pt idx="237">
                  <c:v>45343</c:v>
                </c:pt>
                <c:pt idx="238">
                  <c:v>45342</c:v>
                </c:pt>
                <c:pt idx="239">
                  <c:v>45338</c:v>
                </c:pt>
                <c:pt idx="240">
                  <c:v>45337</c:v>
                </c:pt>
                <c:pt idx="241">
                  <c:v>45336</c:v>
                </c:pt>
                <c:pt idx="242">
                  <c:v>45335</c:v>
                </c:pt>
                <c:pt idx="243">
                  <c:v>45334</c:v>
                </c:pt>
                <c:pt idx="244">
                  <c:v>45331</c:v>
                </c:pt>
                <c:pt idx="245">
                  <c:v>45330</c:v>
                </c:pt>
                <c:pt idx="246">
                  <c:v>45329</c:v>
                </c:pt>
                <c:pt idx="247">
                  <c:v>45328</c:v>
                </c:pt>
                <c:pt idx="248">
                  <c:v>45327</c:v>
                </c:pt>
                <c:pt idx="249">
                  <c:v>45324</c:v>
                </c:pt>
                <c:pt idx="250">
                  <c:v>45323</c:v>
                </c:pt>
                <c:pt idx="251">
                  <c:v>45322</c:v>
                </c:pt>
                <c:pt idx="252">
                  <c:v>45321</c:v>
                </c:pt>
                <c:pt idx="253">
                  <c:v>45320</c:v>
                </c:pt>
                <c:pt idx="254">
                  <c:v>45317</c:v>
                </c:pt>
                <c:pt idx="255">
                  <c:v>45316</c:v>
                </c:pt>
                <c:pt idx="256">
                  <c:v>45315</c:v>
                </c:pt>
                <c:pt idx="257">
                  <c:v>45314</c:v>
                </c:pt>
                <c:pt idx="258">
                  <c:v>45313</c:v>
                </c:pt>
                <c:pt idx="259">
                  <c:v>45310</c:v>
                </c:pt>
                <c:pt idx="260">
                  <c:v>45309</c:v>
                </c:pt>
                <c:pt idx="261">
                  <c:v>45308</c:v>
                </c:pt>
                <c:pt idx="262">
                  <c:v>45307</c:v>
                </c:pt>
                <c:pt idx="263">
                  <c:v>45303</c:v>
                </c:pt>
                <c:pt idx="264">
                  <c:v>45302</c:v>
                </c:pt>
                <c:pt idx="265">
                  <c:v>45301</c:v>
                </c:pt>
                <c:pt idx="266">
                  <c:v>45300</c:v>
                </c:pt>
                <c:pt idx="267">
                  <c:v>45299</c:v>
                </c:pt>
                <c:pt idx="268">
                  <c:v>45296</c:v>
                </c:pt>
                <c:pt idx="269">
                  <c:v>45295</c:v>
                </c:pt>
                <c:pt idx="270">
                  <c:v>45294</c:v>
                </c:pt>
                <c:pt idx="271">
                  <c:v>45293</c:v>
                </c:pt>
                <c:pt idx="272">
                  <c:v>45289</c:v>
                </c:pt>
                <c:pt idx="273">
                  <c:v>45288</c:v>
                </c:pt>
                <c:pt idx="274">
                  <c:v>45287</c:v>
                </c:pt>
                <c:pt idx="275">
                  <c:v>45286</c:v>
                </c:pt>
                <c:pt idx="276">
                  <c:v>45282</c:v>
                </c:pt>
                <c:pt idx="277">
                  <c:v>45281</c:v>
                </c:pt>
                <c:pt idx="278">
                  <c:v>45280</c:v>
                </c:pt>
                <c:pt idx="279">
                  <c:v>45279</c:v>
                </c:pt>
                <c:pt idx="280">
                  <c:v>45278</c:v>
                </c:pt>
                <c:pt idx="281">
                  <c:v>45275</c:v>
                </c:pt>
                <c:pt idx="282">
                  <c:v>45274</c:v>
                </c:pt>
                <c:pt idx="283">
                  <c:v>45273</c:v>
                </c:pt>
                <c:pt idx="284">
                  <c:v>45272</c:v>
                </c:pt>
                <c:pt idx="285">
                  <c:v>45271</c:v>
                </c:pt>
                <c:pt idx="286">
                  <c:v>45268</c:v>
                </c:pt>
                <c:pt idx="287">
                  <c:v>45267</c:v>
                </c:pt>
                <c:pt idx="288">
                  <c:v>45266</c:v>
                </c:pt>
                <c:pt idx="289">
                  <c:v>45265</c:v>
                </c:pt>
                <c:pt idx="290">
                  <c:v>45264</c:v>
                </c:pt>
                <c:pt idx="291">
                  <c:v>45261</c:v>
                </c:pt>
                <c:pt idx="292">
                  <c:v>45260</c:v>
                </c:pt>
                <c:pt idx="293">
                  <c:v>45259</c:v>
                </c:pt>
                <c:pt idx="294">
                  <c:v>45258</c:v>
                </c:pt>
                <c:pt idx="295">
                  <c:v>45257</c:v>
                </c:pt>
                <c:pt idx="296">
                  <c:v>45254</c:v>
                </c:pt>
                <c:pt idx="297">
                  <c:v>45252</c:v>
                </c:pt>
                <c:pt idx="298">
                  <c:v>45251</c:v>
                </c:pt>
                <c:pt idx="299">
                  <c:v>45250</c:v>
                </c:pt>
                <c:pt idx="300">
                  <c:v>45247</c:v>
                </c:pt>
                <c:pt idx="301">
                  <c:v>45246</c:v>
                </c:pt>
                <c:pt idx="302">
                  <c:v>45245</c:v>
                </c:pt>
                <c:pt idx="303">
                  <c:v>45244</c:v>
                </c:pt>
                <c:pt idx="304">
                  <c:v>45243</c:v>
                </c:pt>
                <c:pt idx="305">
                  <c:v>45240</c:v>
                </c:pt>
                <c:pt idx="306">
                  <c:v>45239</c:v>
                </c:pt>
                <c:pt idx="307">
                  <c:v>45238</c:v>
                </c:pt>
                <c:pt idx="308">
                  <c:v>45237</c:v>
                </c:pt>
                <c:pt idx="309">
                  <c:v>45236</c:v>
                </c:pt>
                <c:pt idx="310">
                  <c:v>45233</c:v>
                </c:pt>
                <c:pt idx="311">
                  <c:v>45232</c:v>
                </c:pt>
                <c:pt idx="312">
                  <c:v>45231</c:v>
                </c:pt>
                <c:pt idx="313">
                  <c:v>45230</c:v>
                </c:pt>
                <c:pt idx="314">
                  <c:v>45229</c:v>
                </c:pt>
                <c:pt idx="315">
                  <c:v>45226</c:v>
                </c:pt>
                <c:pt idx="316">
                  <c:v>45225</c:v>
                </c:pt>
                <c:pt idx="317">
                  <c:v>45224</c:v>
                </c:pt>
                <c:pt idx="318">
                  <c:v>45223</c:v>
                </c:pt>
                <c:pt idx="319">
                  <c:v>45222</c:v>
                </c:pt>
                <c:pt idx="320">
                  <c:v>45219</c:v>
                </c:pt>
                <c:pt idx="321">
                  <c:v>45218</c:v>
                </c:pt>
                <c:pt idx="322">
                  <c:v>45217</c:v>
                </c:pt>
                <c:pt idx="323">
                  <c:v>45216</c:v>
                </c:pt>
                <c:pt idx="324">
                  <c:v>45215</c:v>
                </c:pt>
                <c:pt idx="325">
                  <c:v>45212</c:v>
                </c:pt>
                <c:pt idx="326">
                  <c:v>45211</c:v>
                </c:pt>
                <c:pt idx="327">
                  <c:v>45210</c:v>
                </c:pt>
                <c:pt idx="328">
                  <c:v>45209</c:v>
                </c:pt>
                <c:pt idx="329">
                  <c:v>45208</c:v>
                </c:pt>
                <c:pt idx="330">
                  <c:v>45205</c:v>
                </c:pt>
                <c:pt idx="331">
                  <c:v>45204</c:v>
                </c:pt>
                <c:pt idx="332">
                  <c:v>45203</c:v>
                </c:pt>
                <c:pt idx="333">
                  <c:v>45202</c:v>
                </c:pt>
                <c:pt idx="334">
                  <c:v>45201</c:v>
                </c:pt>
                <c:pt idx="335">
                  <c:v>45198</c:v>
                </c:pt>
                <c:pt idx="336">
                  <c:v>45197</c:v>
                </c:pt>
                <c:pt idx="337">
                  <c:v>45196</c:v>
                </c:pt>
                <c:pt idx="338">
                  <c:v>45195</c:v>
                </c:pt>
                <c:pt idx="339">
                  <c:v>45194</c:v>
                </c:pt>
                <c:pt idx="340">
                  <c:v>45191</c:v>
                </c:pt>
                <c:pt idx="341">
                  <c:v>45190</c:v>
                </c:pt>
                <c:pt idx="342">
                  <c:v>45189</c:v>
                </c:pt>
                <c:pt idx="343">
                  <c:v>45188</c:v>
                </c:pt>
                <c:pt idx="344">
                  <c:v>45187</c:v>
                </c:pt>
                <c:pt idx="345">
                  <c:v>45184</c:v>
                </c:pt>
                <c:pt idx="346">
                  <c:v>45183</c:v>
                </c:pt>
                <c:pt idx="347">
                  <c:v>45182</c:v>
                </c:pt>
                <c:pt idx="348">
                  <c:v>45181</c:v>
                </c:pt>
                <c:pt idx="349">
                  <c:v>45180</c:v>
                </c:pt>
                <c:pt idx="350">
                  <c:v>45177</c:v>
                </c:pt>
                <c:pt idx="351">
                  <c:v>45176</c:v>
                </c:pt>
                <c:pt idx="352">
                  <c:v>45175</c:v>
                </c:pt>
                <c:pt idx="353">
                  <c:v>45174</c:v>
                </c:pt>
                <c:pt idx="354">
                  <c:v>45170</c:v>
                </c:pt>
                <c:pt idx="355">
                  <c:v>45169</c:v>
                </c:pt>
                <c:pt idx="356">
                  <c:v>45168</c:v>
                </c:pt>
                <c:pt idx="357">
                  <c:v>45167</c:v>
                </c:pt>
                <c:pt idx="358">
                  <c:v>45166</c:v>
                </c:pt>
                <c:pt idx="359">
                  <c:v>45163</c:v>
                </c:pt>
                <c:pt idx="360">
                  <c:v>45162</c:v>
                </c:pt>
                <c:pt idx="361">
                  <c:v>45161</c:v>
                </c:pt>
                <c:pt idx="362">
                  <c:v>45160</c:v>
                </c:pt>
                <c:pt idx="363">
                  <c:v>45159</c:v>
                </c:pt>
                <c:pt idx="364">
                  <c:v>45156</c:v>
                </c:pt>
                <c:pt idx="365">
                  <c:v>45155</c:v>
                </c:pt>
                <c:pt idx="366">
                  <c:v>45154</c:v>
                </c:pt>
                <c:pt idx="367">
                  <c:v>45153</c:v>
                </c:pt>
                <c:pt idx="368">
                  <c:v>45152</c:v>
                </c:pt>
                <c:pt idx="369">
                  <c:v>45149</c:v>
                </c:pt>
                <c:pt idx="370">
                  <c:v>45148</c:v>
                </c:pt>
                <c:pt idx="371">
                  <c:v>45147</c:v>
                </c:pt>
                <c:pt idx="372">
                  <c:v>45146</c:v>
                </c:pt>
                <c:pt idx="373">
                  <c:v>45145</c:v>
                </c:pt>
                <c:pt idx="374">
                  <c:v>45142</c:v>
                </c:pt>
                <c:pt idx="375">
                  <c:v>45141</c:v>
                </c:pt>
                <c:pt idx="376">
                  <c:v>45140</c:v>
                </c:pt>
                <c:pt idx="377">
                  <c:v>45139</c:v>
                </c:pt>
                <c:pt idx="378">
                  <c:v>45138</c:v>
                </c:pt>
                <c:pt idx="379">
                  <c:v>45135</c:v>
                </c:pt>
                <c:pt idx="380">
                  <c:v>45134</c:v>
                </c:pt>
                <c:pt idx="381">
                  <c:v>45133</c:v>
                </c:pt>
                <c:pt idx="382">
                  <c:v>45132</c:v>
                </c:pt>
                <c:pt idx="383">
                  <c:v>45131</c:v>
                </c:pt>
                <c:pt idx="384">
                  <c:v>45128</c:v>
                </c:pt>
                <c:pt idx="385">
                  <c:v>45127</c:v>
                </c:pt>
                <c:pt idx="386">
                  <c:v>45126</c:v>
                </c:pt>
                <c:pt idx="387">
                  <c:v>45125</c:v>
                </c:pt>
                <c:pt idx="388">
                  <c:v>45124</c:v>
                </c:pt>
                <c:pt idx="389">
                  <c:v>45121</c:v>
                </c:pt>
                <c:pt idx="390">
                  <c:v>45120</c:v>
                </c:pt>
                <c:pt idx="391">
                  <c:v>45119</c:v>
                </c:pt>
                <c:pt idx="392">
                  <c:v>45118</c:v>
                </c:pt>
                <c:pt idx="393">
                  <c:v>45117</c:v>
                </c:pt>
                <c:pt idx="394">
                  <c:v>45114</c:v>
                </c:pt>
                <c:pt idx="395">
                  <c:v>45113</c:v>
                </c:pt>
                <c:pt idx="396">
                  <c:v>45112</c:v>
                </c:pt>
                <c:pt idx="397">
                  <c:v>45110</c:v>
                </c:pt>
                <c:pt idx="398">
                  <c:v>45107</c:v>
                </c:pt>
                <c:pt idx="399">
                  <c:v>45106</c:v>
                </c:pt>
                <c:pt idx="400">
                  <c:v>45105</c:v>
                </c:pt>
                <c:pt idx="401">
                  <c:v>45104</c:v>
                </c:pt>
                <c:pt idx="402">
                  <c:v>45103</c:v>
                </c:pt>
                <c:pt idx="403">
                  <c:v>45100</c:v>
                </c:pt>
                <c:pt idx="404">
                  <c:v>45099</c:v>
                </c:pt>
                <c:pt idx="405">
                  <c:v>45098</c:v>
                </c:pt>
                <c:pt idx="406">
                  <c:v>45097</c:v>
                </c:pt>
                <c:pt idx="407">
                  <c:v>45093</c:v>
                </c:pt>
                <c:pt idx="408">
                  <c:v>45092</c:v>
                </c:pt>
                <c:pt idx="409">
                  <c:v>45091</c:v>
                </c:pt>
                <c:pt idx="410">
                  <c:v>45090</c:v>
                </c:pt>
                <c:pt idx="411">
                  <c:v>45089</c:v>
                </c:pt>
                <c:pt idx="412">
                  <c:v>45086</c:v>
                </c:pt>
                <c:pt idx="413">
                  <c:v>45085</c:v>
                </c:pt>
                <c:pt idx="414">
                  <c:v>45084</c:v>
                </c:pt>
                <c:pt idx="415">
                  <c:v>45083</c:v>
                </c:pt>
                <c:pt idx="416">
                  <c:v>45082</c:v>
                </c:pt>
                <c:pt idx="417">
                  <c:v>45079</c:v>
                </c:pt>
                <c:pt idx="418">
                  <c:v>45078</c:v>
                </c:pt>
                <c:pt idx="419">
                  <c:v>45077</c:v>
                </c:pt>
                <c:pt idx="420">
                  <c:v>45076</c:v>
                </c:pt>
                <c:pt idx="421">
                  <c:v>45072</c:v>
                </c:pt>
                <c:pt idx="422">
                  <c:v>45071</c:v>
                </c:pt>
                <c:pt idx="423">
                  <c:v>45070</c:v>
                </c:pt>
                <c:pt idx="424">
                  <c:v>45069</c:v>
                </c:pt>
                <c:pt idx="425">
                  <c:v>45068</c:v>
                </c:pt>
                <c:pt idx="426">
                  <c:v>45065</c:v>
                </c:pt>
                <c:pt idx="427">
                  <c:v>45064</c:v>
                </c:pt>
                <c:pt idx="428">
                  <c:v>45063</c:v>
                </c:pt>
                <c:pt idx="429">
                  <c:v>45062</c:v>
                </c:pt>
                <c:pt idx="430">
                  <c:v>45061</c:v>
                </c:pt>
                <c:pt idx="431">
                  <c:v>45058</c:v>
                </c:pt>
                <c:pt idx="432">
                  <c:v>45057</c:v>
                </c:pt>
                <c:pt idx="433">
                  <c:v>45056</c:v>
                </c:pt>
                <c:pt idx="434">
                  <c:v>45055</c:v>
                </c:pt>
                <c:pt idx="435">
                  <c:v>45054</c:v>
                </c:pt>
                <c:pt idx="436">
                  <c:v>45051</c:v>
                </c:pt>
                <c:pt idx="437">
                  <c:v>45050</c:v>
                </c:pt>
                <c:pt idx="438">
                  <c:v>45049</c:v>
                </c:pt>
                <c:pt idx="439">
                  <c:v>45048</c:v>
                </c:pt>
                <c:pt idx="440">
                  <c:v>45047</c:v>
                </c:pt>
                <c:pt idx="441">
                  <c:v>45044</c:v>
                </c:pt>
                <c:pt idx="442">
                  <c:v>45043</c:v>
                </c:pt>
                <c:pt idx="443">
                  <c:v>45042</c:v>
                </c:pt>
                <c:pt idx="444">
                  <c:v>45041</c:v>
                </c:pt>
                <c:pt idx="445">
                  <c:v>45040</c:v>
                </c:pt>
                <c:pt idx="446">
                  <c:v>45037</c:v>
                </c:pt>
                <c:pt idx="447">
                  <c:v>45036</c:v>
                </c:pt>
                <c:pt idx="448">
                  <c:v>45035</c:v>
                </c:pt>
                <c:pt idx="449">
                  <c:v>45034</c:v>
                </c:pt>
                <c:pt idx="450">
                  <c:v>45033</c:v>
                </c:pt>
                <c:pt idx="451">
                  <c:v>45030</c:v>
                </c:pt>
                <c:pt idx="452">
                  <c:v>45029</c:v>
                </c:pt>
                <c:pt idx="453">
                  <c:v>45028</c:v>
                </c:pt>
                <c:pt idx="454">
                  <c:v>45027</c:v>
                </c:pt>
                <c:pt idx="455">
                  <c:v>45026</c:v>
                </c:pt>
                <c:pt idx="456">
                  <c:v>45022</c:v>
                </c:pt>
                <c:pt idx="457">
                  <c:v>45021</c:v>
                </c:pt>
                <c:pt idx="458">
                  <c:v>45020</c:v>
                </c:pt>
                <c:pt idx="459">
                  <c:v>45019</c:v>
                </c:pt>
                <c:pt idx="460">
                  <c:v>45016</c:v>
                </c:pt>
                <c:pt idx="461">
                  <c:v>45015</c:v>
                </c:pt>
                <c:pt idx="462">
                  <c:v>45014</c:v>
                </c:pt>
                <c:pt idx="463">
                  <c:v>45013</c:v>
                </c:pt>
                <c:pt idx="464">
                  <c:v>45012</c:v>
                </c:pt>
                <c:pt idx="465">
                  <c:v>45009</c:v>
                </c:pt>
                <c:pt idx="466">
                  <c:v>45008</c:v>
                </c:pt>
                <c:pt idx="467">
                  <c:v>45007</c:v>
                </c:pt>
                <c:pt idx="468">
                  <c:v>45006</c:v>
                </c:pt>
                <c:pt idx="469">
                  <c:v>45005</c:v>
                </c:pt>
                <c:pt idx="470">
                  <c:v>45002</c:v>
                </c:pt>
                <c:pt idx="471">
                  <c:v>45001</c:v>
                </c:pt>
                <c:pt idx="472">
                  <c:v>45000</c:v>
                </c:pt>
                <c:pt idx="473">
                  <c:v>44999</c:v>
                </c:pt>
                <c:pt idx="474">
                  <c:v>44998</c:v>
                </c:pt>
                <c:pt idx="475">
                  <c:v>44995</c:v>
                </c:pt>
                <c:pt idx="476">
                  <c:v>44994</c:v>
                </c:pt>
                <c:pt idx="477">
                  <c:v>44993</c:v>
                </c:pt>
                <c:pt idx="478">
                  <c:v>44992</c:v>
                </c:pt>
                <c:pt idx="479">
                  <c:v>44991</c:v>
                </c:pt>
                <c:pt idx="480">
                  <c:v>44988</c:v>
                </c:pt>
                <c:pt idx="481">
                  <c:v>44987</c:v>
                </c:pt>
                <c:pt idx="482">
                  <c:v>44986</c:v>
                </c:pt>
                <c:pt idx="483">
                  <c:v>44985</c:v>
                </c:pt>
                <c:pt idx="484">
                  <c:v>44984</c:v>
                </c:pt>
                <c:pt idx="485">
                  <c:v>44981</c:v>
                </c:pt>
                <c:pt idx="486">
                  <c:v>44980</c:v>
                </c:pt>
                <c:pt idx="487">
                  <c:v>44979</c:v>
                </c:pt>
                <c:pt idx="488">
                  <c:v>44978</c:v>
                </c:pt>
                <c:pt idx="489">
                  <c:v>44974</c:v>
                </c:pt>
                <c:pt idx="490">
                  <c:v>44973</c:v>
                </c:pt>
                <c:pt idx="491">
                  <c:v>44972</c:v>
                </c:pt>
                <c:pt idx="492">
                  <c:v>44971</c:v>
                </c:pt>
                <c:pt idx="493">
                  <c:v>44970</c:v>
                </c:pt>
                <c:pt idx="494">
                  <c:v>44967</c:v>
                </c:pt>
                <c:pt idx="495">
                  <c:v>44966</c:v>
                </c:pt>
                <c:pt idx="496">
                  <c:v>44965</c:v>
                </c:pt>
                <c:pt idx="497">
                  <c:v>44964</c:v>
                </c:pt>
                <c:pt idx="498">
                  <c:v>44963</c:v>
                </c:pt>
                <c:pt idx="499">
                  <c:v>44960</c:v>
                </c:pt>
                <c:pt idx="500">
                  <c:v>44959</c:v>
                </c:pt>
                <c:pt idx="501">
                  <c:v>44958</c:v>
                </c:pt>
                <c:pt idx="502">
                  <c:v>44957</c:v>
                </c:pt>
              </c:numCache>
            </c:numRef>
          </c:cat>
          <c:val>
            <c:numRef>
              <c:f>'Bollinger Bands'!$E$2:$E$504</c:f>
              <c:numCache>
                <c:formatCode>General</c:formatCode>
                <c:ptCount val="503"/>
                <c:pt idx="19" formatCode="0.00">
                  <c:v>51.170399717824125</c:v>
                </c:pt>
                <c:pt idx="20" formatCode="0.00">
                  <c:v>51.10583877256348</c:v>
                </c:pt>
                <c:pt idx="21" formatCode="0.00">
                  <c:v>51.252223100725125</c:v>
                </c:pt>
                <c:pt idx="22" formatCode="0.00">
                  <c:v>51.225992441739479</c:v>
                </c:pt>
                <c:pt idx="23" formatCode="0.00">
                  <c:v>51.411869627455388</c:v>
                </c:pt>
                <c:pt idx="24" formatCode="0.00">
                  <c:v>51.332882701309629</c:v>
                </c:pt>
                <c:pt idx="25" formatCode="0.00">
                  <c:v>51.378699453906023</c:v>
                </c:pt>
                <c:pt idx="26" formatCode="0.00">
                  <c:v>51.150718650059773</c:v>
                </c:pt>
                <c:pt idx="27" formatCode="0.00">
                  <c:v>51.091333642118286</c:v>
                </c:pt>
                <c:pt idx="28" formatCode="0.00">
                  <c:v>51.239003588922984</c:v>
                </c:pt>
                <c:pt idx="29" formatCode="0.00">
                  <c:v>50.458819142597321</c:v>
                </c:pt>
                <c:pt idx="30" formatCode="0.00">
                  <c:v>49.992448949504976</c:v>
                </c:pt>
                <c:pt idx="31" formatCode="0.00">
                  <c:v>50.068187669891515</c:v>
                </c:pt>
                <c:pt idx="32" formatCode="0.00">
                  <c:v>50.220740770333045</c:v>
                </c:pt>
                <c:pt idx="33" formatCode="0.00">
                  <c:v>50.395152976970422</c:v>
                </c:pt>
                <c:pt idx="34" formatCode="0.00">
                  <c:v>50.783929872275479</c:v>
                </c:pt>
                <c:pt idx="35" formatCode="0.00">
                  <c:v>51.093225568849483</c:v>
                </c:pt>
                <c:pt idx="36" formatCode="0.00">
                  <c:v>51.369343310186586</c:v>
                </c:pt>
                <c:pt idx="37" formatCode="0.00">
                  <c:v>51.392567787339622</c:v>
                </c:pt>
                <c:pt idx="38" formatCode="0.00">
                  <c:v>51.705740163805352</c:v>
                </c:pt>
                <c:pt idx="39" formatCode="0.00">
                  <c:v>52.209807646872086</c:v>
                </c:pt>
                <c:pt idx="40" formatCode="0.00">
                  <c:v>52.663032573049023</c:v>
                </c:pt>
                <c:pt idx="41" formatCode="0.00">
                  <c:v>52.847638388968761</c:v>
                </c:pt>
                <c:pt idx="42" formatCode="0.00">
                  <c:v>53.211759906754168</c:v>
                </c:pt>
                <c:pt idx="43" formatCode="0.00">
                  <c:v>53.400397626310045</c:v>
                </c:pt>
                <c:pt idx="44" formatCode="0.00">
                  <c:v>53.483537552466764</c:v>
                </c:pt>
                <c:pt idx="45" formatCode="0.00">
                  <c:v>52.806805111781074</c:v>
                </c:pt>
                <c:pt idx="46" formatCode="0.00">
                  <c:v>52.006853575695814</c:v>
                </c:pt>
                <c:pt idx="47" formatCode="0.00">
                  <c:v>51.01959973316481</c:v>
                </c:pt>
                <c:pt idx="48" formatCode="0.00">
                  <c:v>50.07893132991191</c:v>
                </c:pt>
                <c:pt idx="49" formatCode="0.00">
                  <c:v>49.434812764386507</c:v>
                </c:pt>
                <c:pt idx="50" formatCode="0.00">
                  <c:v>48.849015226866989</c:v>
                </c:pt>
                <c:pt idx="51" formatCode="0.00">
                  <c:v>48.43316739179086</c:v>
                </c:pt>
                <c:pt idx="52" formatCode="0.00">
                  <c:v>48.377611147637445</c:v>
                </c:pt>
                <c:pt idx="53" formatCode="0.00">
                  <c:v>48.454105703658946</c:v>
                </c:pt>
                <c:pt idx="54" formatCode="0.00">
                  <c:v>48.566674686677608</c:v>
                </c:pt>
                <c:pt idx="55" formatCode="0.00">
                  <c:v>48.704438667740405</c:v>
                </c:pt>
                <c:pt idx="56" formatCode="0.00">
                  <c:v>48.753804498549599</c:v>
                </c:pt>
                <c:pt idx="57" formatCode="0.00">
                  <c:v>48.818505616471185</c:v>
                </c:pt>
                <c:pt idx="58" formatCode="0.00">
                  <c:v>49.268192933628022</c:v>
                </c:pt>
                <c:pt idx="59" formatCode="0.00">
                  <c:v>49.487585577431751</c:v>
                </c:pt>
                <c:pt idx="60" formatCode="0.00">
                  <c:v>49.560337140090851</c:v>
                </c:pt>
                <c:pt idx="61" formatCode="0.00">
                  <c:v>49.489868169996647</c:v>
                </c:pt>
                <c:pt idx="62" formatCode="0.00">
                  <c:v>48.686904505020756</c:v>
                </c:pt>
                <c:pt idx="63" formatCode="0.00">
                  <c:v>47.94711430174533</c:v>
                </c:pt>
                <c:pt idx="64" formatCode="0.00">
                  <c:v>47.771841020028234</c:v>
                </c:pt>
                <c:pt idx="65" formatCode="0.00">
                  <c:v>47.398736104176514</c:v>
                </c:pt>
                <c:pt idx="66" formatCode="0.00">
                  <c:v>47.066362971460158</c:v>
                </c:pt>
                <c:pt idx="67" formatCode="0.00">
                  <c:v>46.950422821889866</c:v>
                </c:pt>
                <c:pt idx="68" formatCode="0.00">
                  <c:v>46.832054409187265</c:v>
                </c:pt>
                <c:pt idx="69" formatCode="0.00">
                  <c:v>46.891012274976703</c:v>
                </c:pt>
                <c:pt idx="70" formatCode="0.00">
                  <c:v>47.043952760600824</c:v>
                </c:pt>
                <c:pt idx="71" formatCode="0.00">
                  <c:v>47.024477547095508</c:v>
                </c:pt>
                <c:pt idx="72" formatCode="0.00">
                  <c:v>47.054802414342177</c:v>
                </c:pt>
                <c:pt idx="73" formatCode="0.00">
                  <c:v>47.12188264705226</c:v>
                </c:pt>
                <c:pt idx="74" formatCode="0.00">
                  <c:v>47.094795000269549</c:v>
                </c:pt>
                <c:pt idx="75" formatCode="0.00">
                  <c:v>47.059144145773743</c:v>
                </c:pt>
                <c:pt idx="76" formatCode="0.00">
                  <c:v>47.07561423206355</c:v>
                </c:pt>
                <c:pt idx="77" formatCode="0.00">
                  <c:v>47.169881103588281</c:v>
                </c:pt>
                <c:pt idx="78" formatCode="0.00">
                  <c:v>47.253644203942791</c:v>
                </c:pt>
                <c:pt idx="79" formatCode="0.00">
                  <c:v>47.307965108493882</c:v>
                </c:pt>
                <c:pt idx="80" formatCode="0.00">
                  <c:v>47.304174863712007</c:v>
                </c:pt>
                <c:pt idx="81" formatCode="0.00">
                  <c:v>47.312013713477768</c:v>
                </c:pt>
                <c:pt idx="82" formatCode="0.00">
                  <c:v>47.608376909917631</c:v>
                </c:pt>
                <c:pt idx="83" formatCode="0.00">
                  <c:v>48.074597687862322</c:v>
                </c:pt>
                <c:pt idx="84" formatCode="0.00">
                  <c:v>47.780000782962823</c:v>
                </c:pt>
                <c:pt idx="85" formatCode="0.00">
                  <c:v>47.399182174692129</c:v>
                </c:pt>
                <c:pt idx="86" formatCode="0.00">
                  <c:v>47.542205133200333</c:v>
                </c:pt>
                <c:pt idx="87" formatCode="0.00">
                  <c:v>47.732144816316058</c:v>
                </c:pt>
                <c:pt idx="88" formatCode="0.00">
                  <c:v>48.008725058500971</c:v>
                </c:pt>
                <c:pt idx="89" formatCode="0.00">
                  <c:v>48.029878841931669</c:v>
                </c:pt>
                <c:pt idx="90" formatCode="0.00">
                  <c:v>48.122328235768556</c:v>
                </c:pt>
                <c:pt idx="91" formatCode="0.00">
                  <c:v>48.323043740276439</c:v>
                </c:pt>
                <c:pt idx="92" formatCode="0.00">
                  <c:v>48.362985934174972</c:v>
                </c:pt>
                <c:pt idx="93" formatCode="0.00">
                  <c:v>48.52297408526924</c:v>
                </c:pt>
                <c:pt idx="94" formatCode="0.00">
                  <c:v>48.995267758326669</c:v>
                </c:pt>
                <c:pt idx="95" formatCode="0.00">
                  <c:v>49.477828215303539</c:v>
                </c:pt>
                <c:pt idx="96" formatCode="0.00">
                  <c:v>49.889567431688093</c:v>
                </c:pt>
                <c:pt idx="97" formatCode="0.00">
                  <c:v>50.092401223672084</c:v>
                </c:pt>
                <c:pt idx="98" formatCode="0.00">
                  <c:v>50.379484669313698</c:v>
                </c:pt>
                <c:pt idx="99" formatCode="0.00">
                  <c:v>50.57724301023184</c:v>
                </c:pt>
                <c:pt idx="100" formatCode="0.00">
                  <c:v>50.615712190668496</c:v>
                </c:pt>
                <c:pt idx="101" formatCode="0.00">
                  <c:v>50.999527379688224</c:v>
                </c:pt>
                <c:pt idx="102" formatCode="0.00">
                  <c:v>51.28393852382893</c:v>
                </c:pt>
                <c:pt idx="103" formatCode="0.00">
                  <c:v>51.531175568105162</c:v>
                </c:pt>
                <c:pt idx="104" formatCode="0.00">
                  <c:v>51.541444262860956</c:v>
                </c:pt>
                <c:pt idx="105" formatCode="0.00">
                  <c:v>51.719654129528351</c:v>
                </c:pt>
                <c:pt idx="106" formatCode="0.00">
                  <c:v>51.74860885017457</c:v>
                </c:pt>
                <c:pt idx="107" formatCode="0.00">
                  <c:v>51.736475055557804</c:v>
                </c:pt>
                <c:pt idx="108" formatCode="0.00">
                  <c:v>51.733679538693877</c:v>
                </c:pt>
                <c:pt idx="109" formatCode="0.00">
                  <c:v>51.722362651949517</c:v>
                </c:pt>
                <c:pt idx="110" formatCode="0.00">
                  <c:v>51.712575967989572</c:v>
                </c:pt>
                <c:pt idx="111" formatCode="0.00">
                  <c:v>51.736839248589654</c:v>
                </c:pt>
                <c:pt idx="112" formatCode="0.00">
                  <c:v>51.752944971011473</c:v>
                </c:pt>
                <c:pt idx="113" formatCode="0.00">
                  <c:v>51.781421642996833</c:v>
                </c:pt>
                <c:pt idx="114" formatCode="0.00">
                  <c:v>51.783942829718747</c:v>
                </c:pt>
                <c:pt idx="115" formatCode="0.00">
                  <c:v>51.750419890517115</c:v>
                </c:pt>
                <c:pt idx="116" formatCode="0.00">
                  <c:v>51.688515844077195</c:v>
                </c:pt>
                <c:pt idx="117" formatCode="0.00">
                  <c:v>52.023165890905503</c:v>
                </c:pt>
                <c:pt idx="118" formatCode="0.00">
                  <c:v>52.132196890370679</c:v>
                </c:pt>
                <c:pt idx="119" formatCode="0.00">
                  <c:v>52.450974693596663</c:v>
                </c:pt>
                <c:pt idx="120" formatCode="0.00">
                  <c:v>52.586906591949116</c:v>
                </c:pt>
                <c:pt idx="121" formatCode="0.00">
                  <c:v>52.471551362453908</c:v>
                </c:pt>
                <c:pt idx="122" formatCode="0.00">
                  <c:v>52.455302597618378</c:v>
                </c:pt>
                <c:pt idx="123" formatCode="0.00">
                  <c:v>52.436981226844281</c:v>
                </c:pt>
                <c:pt idx="124" formatCode="0.00">
                  <c:v>51.692897862009829</c:v>
                </c:pt>
                <c:pt idx="125" formatCode="0.00">
                  <c:v>51.057088447165484</c:v>
                </c:pt>
                <c:pt idx="126" formatCode="0.00">
                  <c:v>49.455096021601491</c:v>
                </c:pt>
                <c:pt idx="127" formatCode="0.00">
                  <c:v>48.674171747969304</c:v>
                </c:pt>
                <c:pt idx="128" formatCode="0.00">
                  <c:v>48.295577819260863</c:v>
                </c:pt>
                <c:pt idx="129" formatCode="0.00">
                  <c:v>48.226149619771874</c:v>
                </c:pt>
                <c:pt idx="130" formatCode="0.00">
                  <c:v>48.497719723186478</c:v>
                </c:pt>
                <c:pt idx="131" formatCode="0.00">
                  <c:v>48.723454678332736</c:v>
                </c:pt>
                <c:pt idx="132" formatCode="0.00">
                  <c:v>49.021342407506879</c:v>
                </c:pt>
                <c:pt idx="133" formatCode="0.00">
                  <c:v>49.231195429222737</c:v>
                </c:pt>
                <c:pt idx="134" formatCode="0.00">
                  <c:v>49.625623620814928</c:v>
                </c:pt>
                <c:pt idx="135" formatCode="0.00">
                  <c:v>50.093392209435095</c:v>
                </c:pt>
                <c:pt idx="136" formatCode="0.00">
                  <c:v>51.057053826770471</c:v>
                </c:pt>
                <c:pt idx="137" formatCode="0.00">
                  <c:v>51.629298961533507</c:v>
                </c:pt>
                <c:pt idx="138" formatCode="0.00">
                  <c:v>52.64375169506414</c:v>
                </c:pt>
                <c:pt idx="139" formatCode="0.00">
                  <c:v>53.338251251306168</c:v>
                </c:pt>
                <c:pt idx="140" formatCode="0.00">
                  <c:v>54.065388092001982</c:v>
                </c:pt>
                <c:pt idx="141" formatCode="0.00">
                  <c:v>54.955026702999831</c:v>
                </c:pt>
                <c:pt idx="142" formatCode="0.00">
                  <c:v>55.695096188925206</c:v>
                </c:pt>
                <c:pt idx="143" formatCode="0.00">
                  <c:v>55.674314428952712</c:v>
                </c:pt>
                <c:pt idx="144" formatCode="0.00">
                  <c:v>55.553659666651491</c:v>
                </c:pt>
                <c:pt idx="145" formatCode="0.00">
                  <c:v>55.322331366926662</c:v>
                </c:pt>
                <c:pt idx="146" formatCode="0.00">
                  <c:v>55.147687326788748</c:v>
                </c:pt>
                <c:pt idx="147" formatCode="0.00">
                  <c:v>54.807584827215088</c:v>
                </c:pt>
                <c:pt idx="148" formatCode="0.00">
                  <c:v>54.757880847578548</c:v>
                </c:pt>
                <c:pt idx="149" formatCode="0.00">
                  <c:v>54.63074931022495</c:v>
                </c:pt>
                <c:pt idx="150" formatCode="0.00">
                  <c:v>54.5824069317257</c:v>
                </c:pt>
                <c:pt idx="151" formatCode="0.00">
                  <c:v>54.541601391128836</c:v>
                </c:pt>
                <c:pt idx="152" formatCode="0.00">
                  <c:v>54.513773376206522</c:v>
                </c:pt>
                <c:pt idx="153" formatCode="0.00">
                  <c:v>54.523023690767175</c:v>
                </c:pt>
                <c:pt idx="154" formatCode="0.00">
                  <c:v>54.437467272476667</c:v>
                </c:pt>
                <c:pt idx="155" formatCode="0.00">
                  <c:v>54.441740347675477</c:v>
                </c:pt>
                <c:pt idx="156" formatCode="0.00">
                  <c:v>54.898259463270456</c:v>
                </c:pt>
                <c:pt idx="157" formatCode="0.00">
                  <c:v>55.891292990972218</c:v>
                </c:pt>
                <c:pt idx="158" formatCode="0.00">
                  <c:v>56.070598778020866</c:v>
                </c:pt>
                <c:pt idx="159" formatCode="0.00">
                  <c:v>55.560381572760427</c:v>
                </c:pt>
                <c:pt idx="160" formatCode="0.00">
                  <c:v>54.749785453128553</c:v>
                </c:pt>
                <c:pt idx="161" formatCode="0.00">
                  <c:v>54.286795055603953</c:v>
                </c:pt>
                <c:pt idx="162" formatCode="0.00">
                  <c:v>54.253271475665279</c:v>
                </c:pt>
                <c:pt idx="163" formatCode="0.00">
                  <c:v>54.556446723645827</c:v>
                </c:pt>
                <c:pt idx="164" formatCode="0.00">
                  <c:v>54.649342873796691</c:v>
                </c:pt>
                <c:pt idx="165" formatCode="0.00">
                  <c:v>54.84245164990292</c:v>
                </c:pt>
                <c:pt idx="166" formatCode="0.00">
                  <c:v>55.085716801654435</c:v>
                </c:pt>
                <c:pt idx="167" formatCode="0.00">
                  <c:v>55.690690774577121</c:v>
                </c:pt>
                <c:pt idx="168" formatCode="0.00">
                  <c:v>55.944869492460803</c:v>
                </c:pt>
                <c:pt idx="169" formatCode="0.00">
                  <c:v>56.20304371069389</c:v>
                </c:pt>
                <c:pt idx="170" formatCode="0.00">
                  <c:v>56.378088084609743</c:v>
                </c:pt>
                <c:pt idx="171" formatCode="0.00">
                  <c:v>56.516083899235902</c:v>
                </c:pt>
                <c:pt idx="172" formatCode="0.00">
                  <c:v>56.711212505228843</c:v>
                </c:pt>
                <c:pt idx="173" formatCode="0.00">
                  <c:v>56.935155482780843</c:v>
                </c:pt>
                <c:pt idx="174" formatCode="0.00">
                  <c:v>57.543354863348277</c:v>
                </c:pt>
                <c:pt idx="175" formatCode="0.00">
                  <c:v>58.386596944170861</c:v>
                </c:pt>
                <c:pt idx="176" formatCode="0.00">
                  <c:v>59.08659461808783</c:v>
                </c:pt>
                <c:pt idx="177" formatCode="0.00">
                  <c:v>59.862832943118732</c:v>
                </c:pt>
                <c:pt idx="178" formatCode="0.00">
                  <c:v>60.415116436303386</c:v>
                </c:pt>
                <c:pt idx="179" formatCode="0.00">
                  <c:v>60.436771113613077</c:v>
                </c:pt>
                <c:pt idx="180" formatCode="0.00">
                  <c:v>60.334781723315452</c:v>
                </c:pt>
                <c:pt idx="181" formatCode="0.00">
                  <c:v>60.240570855563959</c:v>
                </c:pt>
                <c:pt idx="182" formatCode="0.00">
                  <c:v>60.261188020907035</c:v>
                </c:pt>
                <c:pt idx="183" formatCode="0.00">
                  <c:v>60.358421495674953</c:v>
                </c:pt>
                <c:pt idx="184" formatCode="0.00">
                  <c:v>60.359180410291273</c:v>
                </c:pt>
                <c:pt idx="185" formatCode="0.00">
                  <c:v>60.362400534345298</c:v>
                </c:pt>
                <c:pt idx="186" formatCode="0.00">
                  <c:v>60.00966174759953</c:v>
                </c:pt>
                <c:pt idx="187" formatCode="0.00">
                  <c:v>59.435833996633271</c:v>
                </c:pt>
                <c:pt idx="188" formatCode="0.00">
                  <c:v>58.542922345037439</c:v>
                </c:pt>
                <c:pt idx="189" formatCode="0.00">
                  <c:v>58.374686108696274</c:v>
                </c:pt>
                <c:pt idx="190" formatCode="0.00">
                  <c:v>58.30922333798415</c:v>
                </c:pt>
                <c:pt idx="191" formatCode="0.00">
                  <c:v>58.603378733910091</c:v>
                </c:pt>
                <c:pt idx="192" formatCode="0.00">
                  <c:v>58.765529282222396</c:v>
                </c:pt>
                <c:pt idx="193" formatCode="0.00">
                  <c:v>58.793382212773679</c:v>
                </c:pt>
                <c:pt idx="194" formatCode="0.00">
                  <c:v>58.747577187288819</c:v>
                </c:pt>
                <c:pt idx="195" formatCode="0.00">
                  <c:v>58.815245401268953</c:v>
                </c:pt>
                <c:pt idx="196" formatCode="0.00">
                  <c:v>58.902067089885371</c:v>
                </c:pt>
                <c:pt idx="197" formatCode="0.00">
                  <c:v>58.982378274123832</c:v>
                </c:pt>
                <c:pt idx="198" formatCode="0.00">
                  <c:v>59.040170956465808</c:v>
                </c:pt>
                <c:pt idx="199" formatCode="0.00">
                  <c:v>59.177074405920109</c:v>
                </c:pt>
                <c:pt idx="200" formatCode="0.00">
                  <c:v>59.511892595501649</c:v>
                </c:pt>
                <c:pt idx="201" formatCode="0.00">
                  <c:v>59.986119686119324</c:v>
                </c:pt>
                <c:pt idx="202" formatCode="0.00">
                  <c:v>60.248084649954635</c:v>
                </c:pt>
                <c:pt idx="203" formatCode="0.00">
                  <c:v>60.704868144988211</c:v>
                </c:pt>
                <c:pt idx="204" formatCode="0.00">
                  <c:v>61.172706354145795</c:v>
                </c:pt>
                <c:pt idx="205" formatCode="0.00">
                  <c:v>61.695068116390345</c:v>
                </c:pt>
                <c:pt idx="206" formatCode="0.00">
                  <c:v>62.910827922509888</c:v>
                </c:pt>
                <c:pt idx="207" formatCode="0.00">
                  <c:v>65.115187655656825</c:v>
                </c:pt>
                <c:pt idx="208" formatCode="0.00">
                  <c:v>64.934951585022901</c:v>
                </c:pt>
                <c:pt idx="209" formatCode="0.00">
                  <c:v>64.701389749497039</c:v>
                </c:pt>
                <c:pt idx="210" formatCode="0.00">
                  <c:v>64.665588595096736</c:v>
                </c:pt>
                <c:pt idx="211" formatCode="0.00">
                  <c:v>64.599105792080039</c:v>
                </c:pt>
                <c:pt idx="212" formatCode="0.00">
                  <c:v>64.596785671603584</c:v>
                </c:pt>
                <c:pt idx="213" formatCode="0.00">
                  <c:v>64.487914147050432</c:v>
                </c:pt>
                <c:pt idx="214" formatCode="0.00">
                  <c:v>64.396699437128802</c:v>
                </c:pt>
                <c:pt idx="215" formatCode="0.00">
                  <c:v>64.431656907951677</c:v>
                </c:pt>
                <c:pt idx="216" formatCode="0.00">
                  <c:v>64.441352365778627</c:v>
                </c:pt>
                <c:pt idx="217" formatCode="0.00">
                  <c:v>64.411893922530908</c:v>
                </c:pt>
                <c:pt idx="218" formatCode="0.00">
                  <c:v>64.388595103597396</c:v>
                </c:pt>
                <c:pt idx="219" formatCode="0.00">
                  <c:v>64.329102132890199</c:v>
                </c:pt>
                <c:pt idx="220" formatCode="0.00">
                  <c:v>64.292787188419865</c:v>
                </c:pt>
                <c:pt idx="221" formatCode="0.00">
                  <c:v>64.299703777291953</c:v>
                </c:pt>
                <c:pt idx="222" formatCode="0.00">
                  <c:v>64.143307667748005</c:v>
                </c:pt>
                <c:pt idx="223" formatCode="0.00">
                  <c:v>63.712583383552669</c:v>
                </c:pt>
                <c:pt idx="224" formatCode="0.00">
                  <c:v>63.120386972304757</c:v>
                </c:pt>
                <c:pt idx="225" formatCode="0.00">
                  <c:v>62.944601518519562</c:v>
                </c:pt>
                <c:pt idx="226" formatCode="0.00">
                  <c:v>63.26701736612938</c:v>
                </c:pt>
                <c:pt idx="227" formatCode="0.00">
                  <c:v>63.526651144988669</c:v>
                </c:pt>
                <c:pt idx="228" formatCode="0.00">
                  <c:v>63.882385023405305</c:v>
                </c:pt>
                <c:pt idx="229" formatCode="0.00">
                  <c:v>64.221573720218132</c:v>
                </c:pt>
                <c:pt idx="230" formatCode="0.00">
                  <c:v>64.512755483926142</c:v>
                </c:pt>
                <c:pt idx="231" formatCode="0.00">
                  <c:v>64.413150350054522</c:v>
                </c:pt>
                <c:pt idx="232" formatCode="0.00">
                  <c:v>64.445305741145773</c:v>
                </c:pt>
                <c:pt idx="233" formatCode="0.00">
                  <c:v>64.7461593155343</c:v>
                </c:pt>
                <c:pt idx="234" formatCode="0.00">
                  <c:v>65.159492148472694</c:v>
                </c:pt>
                <c:pt idx="235" formatCode="0.00">
                  <c:v>65.079833490657364</c:v>
                </c:pt>
                <c:pt idx="236" formatCode="0.00">
                  <c:v>65.245780664627262</c:v>
                </c:pt>
                <c:pt idx="237" formatCode="0.00">
                  <c:v>64.714450317684211</c:v>
                </c:pt>
                <c:pt idx="238" formatCode="0.00">
                  <c:v>64.87788529119544</c:v>
                </c:pt>
                <c:pt idx="239" formatCode="0.00">
                  <c:v>65.267261207633226</c:v>
                </c:pt>
                <c:pt idx="240" formatCode="0.00">
                  <c:v>65.644469432746533</c:v>
                </c:pt>
                <c:pt idx="241" formatCode="0.00">
                  <c:v>66.138335344008539</c:v>
                </c:pt>
                <c:pt idx="242" formatCode="0.00">
                  <c:v>66.409227610051019</c:v>
                </c:pt>
                <c:pt idx="243" formatCode="0.00">
                  <c:v>66.193912164783811</c:v>
                </c:pt>
                <c:pt idx="244" formatCode="0.00">
                  <c:v>66.064918104848275</c:v>
                </c:pt>
                <c:pt idx="245" formatCode="0.00">
                  <c:v>66.157339617761195</c:v>
                </c:pt>
                <c:pt idx="246" formatCode="0.00">
                  <c:v>66.751878959695347</c:v>
                </c:pt>
                <c:pt idx="247" formatCode="0.00">
                  <c:v>67.420304574358681</c:v>
                </c:pt>
                <c:pt idx="248" formatCode="0.00">
                  <c:v>68.189415303602942</c:v>
                </c:pt>
                <c:pt idx="249" formatCode="0.00">
                  <c:v>69.330598147281265</c:v>
                </c:pt>
                <c:pt idx="250" formatCode="0.00">
                  <c:v>69.84801769169259</c:v>
                </c:pt>
                <c:pt idx="251" formatCode="0.00">
                  <c:v>68.55100632720395</c:v>
                </c:pt>
                <c:pt idx="252" formatCode="0.00">
                  <c:v>68.314981650057604</c:v>
                </c:pt>
                <c:pt idx="253" formatCode="0.00">
                  <c:v>68.135004216373332</c:v>
                </c:pt>
                <c:pt idx="254" formatCode="0.00">
                  <c:v>67.746922762134744</c:v>
                </c:pt>
                <c:pt idx="255" formatCode="0.00">
                  <c:v>67.225041008403423</c:v>
                </c:pt>
                <c:pt idx="256" formatCode="0.00">
                  <c:v>66.815938103749176</c:v>
                </c:pt>
                <c:pt idx="257" formatCode="0.00">
                  <c:v>66.48893506641258</c:v>
                </c:pt>
                <c:pt idx="258" formatCode="0.00">
                  <c:v>66.245452850482749</c:v>
                </c:pt>
                <c:pt idx="259" formatCode="0.00">
                  <c:v>66.054335318577941</c:v>
                </c:pt>
                <c:pt idx="260" formatCode="0.00">
                  <c:v>65.841987656439315</c:v>
                </c:pt>
                <c:pt idx="261" formatCode="0.00">
                  <c:v>65.452607479817246</c:v>
                </c:pt>
                <c:pt idx="262" formatCode="0.00">
                  <c:v>64.978544314278764</c:v>
                </c:pt>
                <c:pt idx="263" formatCode="0.00">
                  <c:v>65.386146791593035</c:v>
                </c:pt>
                <c:pt idx="264" formatCode="0.00">
                  <c:v>65.942274739962883</c:v>
                </c:pt>
                <c:pt idx="265" formatCode="0.00">
                  <c:v>65.921704651505109</c:v>
                </c:pt>
                <c:pt idx="266" formatCode="0.00">
                  <c:v>65.585072799866992</c:v>
                </c:pt>
                <c:pt idx="267" formatCode="0.00">
                  <c:v>65.235669854033915</c:v>
                </c:pt>
                <c:pt idx="268" formatCode="0.00">
                  <c:v>65.174909011406044</c:v>
                </c:pt>
                <c:pt idx="269" formatCode="0.00">
                  <c:v>65.118572592540701</c:v>
                </c:pt>
                <c:pt idx="270" formatCode="0.00">
                  <c:v>64.618542544016933</c:v>
                </c:pt>
                <c:pt idx="271" formatCode="0.00">
                  <c:v>64.688132031866274</c:v>
                </c:pt>
                <c:pt idx="272" formatCode="0.00">
                  <c:v>64.530794412397611</c:v>
                </c:pt>
                <c:pt idx="273" formatCode="0.00">
                  <c:v>64.329816968253581</c:v>
                </c:pt>
                <c:pt idx="274" formatCode="0.00">
                  <c:v>64.428115736476684</c:v>
                </c:pt>
                <c:pt idx="275" formatCode="0.00">
                  <c:v>64.691769651221506</c:v>
                </c:pt>
                <c:pt idx="276" formatCode="0.00">
                  <c:v>65.105295300512537</c:v>
                </c:pt>
                <c:pt idx="277" formatCode="0.00">
                  <c:v>65.409781225369414</c:v>
                </c:pt>
                <c:pt idx="278" formatCode="0.00">
                  <c:v>65.957788043543047</c:v>
                </c:pt>
                <c:pt idx="279" formatCode="0.00">
                  <c:v>66.399977540395042</c:v>
                </c:pt>
                <c:pt idx="280" formatCode="0.00">
                  <c:v>67.562030194685903</c:v>
                </c:pt>
                <c:pt idx="281" formatCode="0.00">
                  <c:v>69.231769291498352</c:v>
                </c:pt>
                <c:pt idx="282" formatCode="0.00">
                  <c:v>71.360170010808687</c:v>
                </c:pt>
                <c:pt idx="283" formatCode="0.00">
                  <c:v>73.134564760590806</c:v>
                </c:pt>
                <c:pt idx="284" formatCode="0.00">
                  <c:v>74.353718972326718</c:v>
                </c:pt>
                <c:pt idx="285" formatCode="0.00">
                  <c:v>75.429915318471757</c:v>
                </c:pt>
                <c:pt idx="286" formatCode="0.00">
                  <c:v>75.962193253582853</c:v>
                </c:pt>
                <c:pt idx="287" formatCode="0.00">
                  <c:v>76.172696853639764</c:v>
                </c:pt>
                <c:pt idx="288" formatCode="0.00">
                  <c:v>77.009758876198319</c:v>
                </c:pt>
                <c:pt idx="289" formatCode="0.00">
                  <c:v>78.037144923489805</c:v>
                </c:pt>
                <c:pt idx="290" formatCode="0.00">
                  <c:v>78.516548844141752</c:v>
                </c:pt>
                <c:pt idx="291" formatCode="0.00">
                  <c:v>78.621521807370769</c:v>
                </c:pt>
                <c:pt idx="292" formatCode="0.00">
                  <c:v>77.404465657995885</c:v>
                </c:pt>
                <c:pt idx="293" formatCode="0.00">
                  <c:v>76.663450413621149</c:v>
                </c:pt>
                <c:pt idx="294" formatCode="0.00">
                  <c:v>75.524664845548813</c:v>
                </c:pt>
                <c:pt idx="295" formatCode="0.00">
                  <c:v>74.215399262042922</c:v>
                </c:pt>
                <c:pt idx="296" formatCode="0.00">
                  <c:v>72.603241510049216</c:v>
                </c:pt>
                <c:pt idx="297" formatCode="0.00">
                  <c:v>71.215481166686359</c:v>
                </c:pt>
                <c:pt idx="298" formatCode="0.00">
                  <c:v>69.789870148169484</c:v>
                </c:pt>
                <c:pt idx="299" formatCode="0.00">
                  <c:v>69.15221805894933</c:v>
                </c:pt>
                <c:pt idx="300" formatCode="0.00">
                  <c:v>68.549733485215071</c:v>
                </c:pt>
                <c:pt idx="301" formatCode="0.00">
                  <c:v>67.484531390841596</c:v>
                </c:pt>
                <c:pt idx="302" formatCode="0.00">
                  <c:v>66.929652616708793</c:v>
                </c:pt>
                <c:pt idx="303" formatCode="0.00">
                  <c:v>65.982079801408133</c:v>
                </c:pt>
                <c:pt idx="304" formatCode="0.00">
                  <c:v>64.3158450894651</c:v>
                </c:pt>
                <c:pt idx="305" formatCode="0.00">
                  <c:v>62.968272567796099</c:v>
                </c:pt>
                <c:pt idx="306" formatCode="0.00">
                  <c:v>61.24343103360259</c:v>
                </c:pt>
                <c:pt idx="307" formatCode="0.00">
                  <c:v>60.154777153445565</c:v>
                </c:pt>
                <c:pt idx="308" formatCode="0.00">
                  <c:v>59.437316280865559</c:v>
                </c:pt>
                <c:pt idx="309" formatCode="0.00">
                  <c:v>58.840429056097207</c:v>
                </c:pt>
                <c:pt idx="310" formatCode="0.00">
                  <c:v>59.118831331073103</c:v>
                </c:pt>
                <c:pt idx="311" formatCode="0.00">
                  <c:v>59.050824939443601</c:v>
                </c:pt>
                <c:pt idx="312" formatCode="0.00">
                  <c:v>58.201957249162447</c:v>
                </c:pt>
                <c:pt idx="313" formatCode="0.00">
                  <c:v>58.064586151485848</c:v>
                </c:pt>
                <c:pt idx="314" formatCode="0.00">
                  <c:v>57.741268480218594</c:v>
                </c:pt>
                <c:pt idx="315" formatCode="0.00">
                  <c:v>57.635030064740029</c:v>
                </c:pt>
                <c:pt idx="316" formatCode="0.00">
                  <c:v>57.432162093178313</c:v>
                </c:pt>
                <c:pt idx="317" formatCode="0.00">
                  <c:v>57.380611106594436</c:v>
                </c:pt>
                <c:pt idx="318" formatCode="0.00">
                  <c:v>57.472282113270914</c:v>
                </c:pt>
                <c:pt idx="319" formatCode="0.00">
                  <c:v>57.828918975764438</c:v>
                </c:pt>
                <c:pt idx="320" formatCode="0.00">
                  <c:v>58.525564319032732</c:v>
                </c:pt>
                <c:pt idx="321" formatCode="0.00">
                  <c:v>58.956662249806293</c:v>
                </c:pt>
                <c:pt idx="322" formatCode="0.00">
                  <c:v>59.798256806346842</c:v>
                </c:pt>
                <c:pt idx="323" formatCode="0.00">
                  <c:v>59.441929257714804</c:v>
                </c:pt>
                <c:pt idx="324" formatCode="0.00">
                  <c:v>59.466801577594886</c:v>
                </c:pt>
                <c:pt idx="325" formatCode="0.00">
                  <c:v>59.460903583135455</c:v>
                </c:pt>
                <c:pt idx="326" formatCode="0.00">
                  <c:v>59.678104752674244</c:v>
                </c:pt>
                <c:pt idx="327" formatCode="0.00">
                  <c:v>59.709876295018312</c:v>
                </c:pt>
                <c:pt idx="328" formatCode="0.00">
                  <c:v>59.660867440303264</c:v>
                </c:pt>
                <c:pt idx="329" formatCode="0.00">
                  <c:v>59.687738316782784</c:v>
                </c:pt>
                <c:pt idx="330" formatCode="0.00">
                  <c:v>59.553672091511494</c:v>
                </c:pt>
                <c:pt idx="331" formatCode="0.00">
                  <c:v>59.714689854215059</c:v>
                </c:pt>
                <c:pt idx="332" formatCode="0.00">
                  <c:v>60.15169410632739</c:v>
                </c:pt>
                <c:pt idx="333" formatCode="0.00">
                  <c:v>60.150252290112299</c:v>
                </c:pt>
                <c:pt idx="334" formatCode="0.00">
                  <c:v>60.538645148253678</c:v>
                </c:pt>
                <c:pt idx="335" formatCode="0.00">
                  <c:v>60.745914746282608</c:v>
                </c:pt>
                <c:pt idx="336" formatCode="0.00">
                  <c:v>60.923831680244618</c:v>
                </c:pt>
                <c:pt idx="337" formatCode="0.00">
                  <c:v>60.748670722568285</c:v>
                </c:pt>
                <c:pt idx="338" formatCode="0.00">
                  <c:v>60.443045655218455</c:v>
                </c:pt>
                <c:pt idx="339" formatCode="0.00">
                  <c:v>60.469644880698738</c:v>
                </c:pt>
                <c:pt idx="340" formatCode="0.00">
                  <c:v>60.414279575755131</c:v>
                </c:pt>
                <c:pt idx="341" formatCode="0.00">
                  <c:v>60.387905635403044</c:v>
                </c:pt>
                <c:pt idx="342" formatCode="0.00">
                  <c:v>60.592608921373667</c:v>
                </c:pt>
                <c:pt idx="343" formatCode="0.00">
                  <c:v>61.51991154334975</c:v>
                </c:pt>
                <c:pt idx="344" formatCode="0.00">
                  <c:v>61.70365932881419</c:v>
                </c:pt>
                <c:pt idx="345" formatCode="0.00">
                  <c:v>61.750002676661239</c:v>
                </c:pt>
                <c:pt idx="346" formatCode="0.00">
                  <c:v>61.536186042838885</c:v>
                </c:pt>
                <c:pt idx="347" formatCode="0.00">
                  <c:v>61.539889547148491</c:v>
                </c:pt>
                <c:pt idx="348" formatCode="0.00">
                  <c:v>61.567564023977503</c:v>
                </c:pt>
                <c:pt idx="349" formatCode="0.00">
                  <c:v>61.630598973208983</c:v>
                </c:pt>
                <c:pt idx="350" formatCode="0.00">
                  <c:v>61.591220083352532</c:v>
                </c:pt>
                <c:pt idx="351" formatCode="0.00">
                  <c:v>61.265604299801375</c:v>
                </c:pt>
                <c:pt idx="352" formatCode="0.00">
                  <c:v>60.206258173953657</c:v>
                </c:pt>
                <c:pt idx="353" formatCode="0.00">
                  <c:v>59.836367445928516</c:v>
                </c:pt>
                <c:pt idx="354" formatCode="0.00">
                  <c:v>59.130265224144686</c:v>
                </c:pt>
                <c:pt idx="355" formatCode="0.00">
                  <c:v>58.892810344501072</c:v>
                </c:pt>
                <c:pt idx="356" formatCode="0.00">
                  <c:v>58.820352556559548</c:v>
                </c:pt>
                <c:pt idx="357" formatCode="0.00">
                  <c:v>59.210158379625014</c:v>
                </c:pt>
                <c:pt idx="358" formatCode="0.00">
                  <c:v>59.946168198489289</c:v>
                </c:pt>
                <c:pt idx="359" formatCode="0.00">
                  <c:v>60.300847730049036</c:v>
                </c:pt>
                <c:pt idx="360" formatCode="0.00">
                  <c:v>60.893909060078094</c:v>
                </c:pt>
                <c:pt idx="361" formatCode="0.00">
                  <c:v>61.449285474114077</c:v>
                </c:pt>
                <c:pt idx="362" formatCode="0.00">
                  <c:v>62.008388477001084</c:v>
                </c:pt>
                <c:pt idx="363" formatCode="0.00">
                  <c:v>62.48500422147287</c:v>
                </c:pt>
                <c:pt idx="364" formatCode="0.00">
                  <c:v>63.418477860112354</c:v>
                </c:pt>
                <c:pt idx="365" formatCode="0.00">
                  <c:v>64.203914381826166</c:v>
                </c:pt>
                <c:pt idx="366" formatCode="0.00">
                  <c:v>64.796140308136771</c:v>
                </c:pt>
                <c:pt idx="367" formatCode="0.00">
                  <c:v>65.936628875667907</c:v>
                </c:pt>
                <c:pt idx="368" formatCode="0.00">
                  <c:v>66.876957864320886</c:v>
                </c:pt>
                <c:pt idx="369" formatCode="0.00">
                  <c:v>68.521675749394163</c:v>
                </c:pt>
                <c:pt idx="370" formatCode="0.00">
                  <c:v>69.581315100241014</c:v>
                </c:pt>
                <c:pt idx="371" formatCode="0.00">
                  <c:v>70.027115244358981</c:v>
                </c:pt>
                <c:pt idx="372" formatCode="0.00">
                  <c:v>69.429590334475691</c:v>
                </c:pt>
                <c:pt idx="373" formatCode="0.00">
                  <c:v>68.783037187201401</c:v>
                </c:pt>
                <c:pt idx="374" formatCode="0.00">
                  <c:v>68.675371737576327</c:v>
                </c:pt>
                <c:pt idx="375" formatCode="0.00">
                  <c:v>68.637732315686392</c:v>
                </c:pt>
                <c:pt idx="376" formatCode="0.00">
                  <c:v>66.024400119972896</c:v>
                </c:pt>
                <c:pt idx="377" formatCode="0.00">
                  <c:v>64.131793941884965</c:v>
                </c:pt>
                <c:pt idx="378" formatCode="0.00">
                  <c:v>62.851766797395314</c:v>
                </c:pt>
                <c:pt idx="379" formatCode="0.00">
                  <c:v>62.686196036754964</c:v>
                </c:pt>
                <c:pt idx="380" formatCode="0.00">
                  <c:v>63.512858819161494</c:v>
                </c:pt>
                <c:pt idx="381" formatCode="0.00">
                  <c:v>64.348878575814524</c:v>
                </c:pt>
                <c:pt idx="382" formatCode="0.00">
                  <c:v>65.47873494371467</c:v>
                </c:pt>
                <c:pt idx="383" formatCode="0.00">
                  <c:v>66.799734922611407</c:v>
                </c:pt>
                <c:pt idx="384" formatCode="0.00">
                  <c:v>68.305242327027258</c:v>
                </c:pt>
                <c:pt idx="385" formatCode="0.00">
                  <c:v>69.940009292666488</c:v>
                </c:pt>
                <c:pt idx="386" formatCode="0.00">
                  <c:v>71.982857357424436</c:v>
                </c:pt>
                <c:pt idx="387" formatCode="0.00">
                  <c:v>73.932974917870865</c:v>
                </c:pt>
                <c:pt idx="388" formatCode="0.00">
                  <c:v>75.385531447180028</c:v>
                </c:pt>
                <c:pt idx="389" formatCode="0.00">
                  <c:v>77.613102541723393</c:v>
                </c:pt>
                <c:pt idx="390" formatCode="0.00">
                  <c:v>79.788677678301909</c:v>
                </c:pt>
                <c:pt idx="391" formatCode="0.00">
                  <c:v>81.740287962657675</c:v>
                </c:pt>
                <c:pt idx="392" formatCode="0.00">
                  <c:v>83.386543629105788</c:v>
                </c:pt>
                <c:pt idx="393" formatCode="0.00">
                  <c:v>83.692381917621191</c:v>
                </c:pt>
                <c:pt idx="394" formatCode="0.00">
                  <c:v>84.024962922433573</c:v>
                </c:pt>
                <c:pt idx="395" formatCode="0.00">
                  <c:v>84.022234195711604</c:v>
                </c:pt>
                <c:pt idx="396" formatCode="0.00">
                  <c:v>82.857542965620127</c:v>
                </c:pt>
                <c:pt idx="397" formatCode="0.00">
                  <c:v>81.984467997483719</c:v>
                </c:pt>
                <c:pt idx="398" formatCode="0.00">
                  <c:v>81.476409170549971</c:v>
                </c:pt>
                <c:pt idx="399" formatCode="0.00">
                  <c:v>81.162148338196516</c:v>
                </c:pt>
                <c:pt idx="400" formatCode="0.00">
                  <c:v>80.889906832747428</c:v>
                </c:pt>
                <c:pt idx="401" formatCode="0.00">
                  <c:v>80.746746957898608</c:v>
                </c:pt>
                <c:pt idx="402" formatCode="0.00">
                  <c:v>80.21139438576445</c:v>
                </c:pt>
                <c:pt idx="403" formatCode="0.00">
                  <c:v>80.390159486891491</c:v>
                </c:pt>
                <c:pt idx="404" formatCode="0.00">
                  <c:v>80.737711573868609</c:v>
                </c:pt>
                <c:pt idx="405" formatCode="0.00">
                  <c:v>80.634445230070085</c:v>
                </c:pt>
                <c:pt idx="406" formatCode="0.00">
                  <c:v>80.622624793429779</c:v>
                </c:pt>
                <c:pt idx="407" formatCode="0.00">
                  <c:v>80.540510504697849</c:v>
                </c:pt>
                <c:pt idx="408" formatCode="0.00">
                  <c:v>80.345556048699407</c:v>
                </c:pt>
                <c:pt idx="409" formatCode="0.00">
                  <c:v>80.216412796816812</c:v>
                </c:pt>
                <c:pt idx="410" formatCode="0.00">
                  <c:v>80.225371721494056</c:v>
                </c:pt>
                <c:pt idx="411" formatCode="0.00">
                  <c:v>80.21178973025755</c:v>
                </c:pt>
                <c:pt idx="412" formatCode="0.00">
                  <c:v>80.264159641665401</c:v>
                </c:pt>
                <c:pt idx="413" formatCode="0.00">
                  <c:v>80.449893912597872</c:v>
                </c:pt>
                <c:pt idx="414" formatCode="0.00">
                  <c:v>81.164943273734991</c:v>
                </c:pt>
                <c:pt idx="415" formatCode="0.00">
                  <c:v>82.092266751437677</c:v>
                </c:pt>
                <c:pt idx="416" formatCode="0.00">
                  <c:v>82.109305979283022</c:v>
                </c:pt>
                <c:pt idx="417" formatCode="0.00">
                  <c:v>82.043079788320298</c:v>
                </c:pt>
                <c:pt idx="418" formatCode="0.00">
                  <c:v>81.488097261511328</c:v>
                </c:pt>
                <c:pt idx="419" formatCode="0.00">
                  <c:v>80.575067189502491</c:v>
                </c:pt>
                <c:pt idx="420" formatCode="0.00">
                  <c:v>79.849815298932413</c:v>
                </c:pt>
                <c:pt idx="421" formatCode="0.00">
                  <c:v>79.640052789304889</c:v>
                </c:pt>
                <c:pt idx="422" formatCode="0.00">
                  <c:v>79.856541886513995</c:v>
                </c:pt>
                <c:pt idx="423" formatCode="0.00">
                  <c:v>79.76830494357317</c:v>
                </c:pt>
                <c:pt idx="424" formatCode="0.00">
                  <c:v>79.651381900120541</c:v>
                </c:pt>
                <c:pt idx="425" formatCode="0.00">
                  <c:v>79.770379013299021</c:v>
                </c:pt>
                <c:pt idx="426" formatCode="0.00">
                  <c:v>80.085663943202476</c:v>
                </c:pt>
                <c:pt idx="427" formatCode="0.00">
                  <c:v>80.254697808745377</c:v>
                </c:pt>
                <c:pt idx="428" formatCode="0.00">
                  <c:v>80.384242801258992</c:v>
                </c:pt>
                <c:pt idx="429" formatCode="0.00">
                  <c:v>80.621322232124584</c:v>
                </c:pt>
                <c:pt idx="430" formatCode="0.00">
                  <c:v>79.973853853620298</c:v>
                </c:pt>
                <c:pt idx="431" formatCode="0.00">
                  <c:v>79.780938083532533</c:v>
                </c:pt>
                <c:pt idx="432" formatCode="0.00">
                  <c:v>79.460846187975761</c:v>
                </c:pt>
                <c:pt idx="433" formatCode="0.00">
                  <c:v>79.489486710501481</c:v>
                </c:pt>
                <c:pt idx="434" formatCode="0.00">
                  <c:v>79.659474666597248</c:v>
                </c:pt>
                <c:pt idx="435" formatCode="0.00">
                  <c:v>79.690366583306371</c:v>
                </c:pt>
                <c:pt idx="436" formatCode="0.00">
                  <c:v>80.129157757502696</c:v>
                </c:pt>
                <c:pt idx="437" formatCode="0.00">
                  <c:v>80.698972409475616</c:v>
                </c:pt>
                <c:pt idx="438" formatCode="0.00">
                  <c:v>81.598581459947354</c:v>
                </c:pt>
                <c:pt idx="439" formatCode="0.00">
                  <c:v>83.050307159893663</c:v>
                </c:pt>
                <c:pt idx="440" formatCode="0.00">
                  <c:v>84.693113934972217</c:v>
                </c:pt>
                <c:pt idx="441" formatCode="0.00">
                  <c:v>85.370119818941333</c:v>
                </c:pt>
                <c:pt idx="442" formatCode="0.00">
                  <c:v>86.230262757211946</c:v>
                </c:pt>
                <c:pt idx="443" formatCode="0.00">
                  <c:v>87.174361158490171</c:v>
                </c:pt>
                <c:pt idx="444" formatCode="0.00">
                  <c:v>88.176159037731153</c:v>
                </c:pt>
                <c:pt idx="445" formatCode="0.00">
                  <c:v>88.472986630183357</c:v>
                </c:pt>
                <c:pt idx="446" formatCode="0.00">
                  <c:v>89.314160274970192</c:v>
                </c:pt>
                <c:pt idx="447" formatCode="0.00">
                  <c:v>89.634539868029563</c:v>
                </c:pt>
                <c:pt idx="448" formatCode="0.00">
                  <c:v>89.692863121897773</c:v>
                </c:pt>
                <c:pt idx="449" formatCode="0.00">
                  <c:v>90.201153472333019</c:v>
                </c:pt>
                <c:pt idx="450" formatCode="0.00">
                  <c:v>90.114284774868096</c:v>
                </c:pt>
                <c:pt idx="451" formatCode="0.00">
                  <c:v>90.434124196150904</c:v>
                </c:pt>
                <c:pt idx="452" formatCode="0.00">
                  <c:v>90.652314981197875</c:v>
                </c:pt>
                <c:pt idx="453" formatCode="0.00">
                  <c:v>91.090950184645649</c:v>
                </c:pt>
                <c:pt idx="454" formatCode="0.00">
                  <c:v>91.926303486324841</c:v>
                </c:pt>
                <c:pt idx="455" formatCode="0.00">
                  <c:v>92.94927705640616</c:v>
                </c:pt>
                <c:pt idx="456" formatCode="0.00">
                  <c:v>95.126610740152472</c:v>
                </c:pt>
                <c:pt idx="457" formatCode="0.00">
                  <c:v>96.819488134642825</c:v>
                </c:pt>
                <c:pt idx="458" formatCode="0.00">
                  <c:v>96.207380019887921</c:v>
                </c:pt>
                <c:pt idx="459" formatCode="0.00">
                  <c:v>96.15484260816433</c:v>
                </c:pt>
                <c:pt idx="460" formatCode="0.00">
                  <c:v>96.380911298162147</c:v>
                </c:pt>
                <c:pt idx="461" formatCode="0.00">
                  <c:v>96.394249507856571</c:v>
                </c:pt>
                <c:pt idx="462" formatCode="0.00">
                  <c:v>96.660546912351265</c:v>
                </c:pt>
                <c:pt idx="463" formatCode="0.00">
                  <c:v>97.570339608500163</c:v>
                </c:pt>
                <c:pt idx="464" formatCode="0.00">
                  <c:v>98.453108575125327</c:v>
                </c:pt>
                <c:pt idx="465" formatCode="0.00">
                  <c:v>98.620065876510168</c:v>
                </c:pt>
                <c:pt idx="466" formatCode="0.00">
                  <c:v>98.717981179450618</c:v>
                </c:pt>
                <c:pt idx="467" formatCode="0.00">
                  <c:v>98.8109107760054</c:v>
                </c:pt>
                <c:pt idx="468" formatCode="0.00">
                  <c:v>98.807366695522177</c:v>
                </c:pt>
                <c:pt idx="469" formatCode="0.00">
                  <c:v>99.278790380382929</c:v>
                </c:pt>
                <c:pt idx="470" formatCode="0.00">
                  <c:v>99.527999783830509</c:v>
                </c:pt>
                <c:pt idx="471" formatCode="0.00">
                  <c:v>99.791216884288772</c:v>
                </c:pt>
                <c:pt idx="472" formatCode="0.00">
                  <c:v>100.47650304223409</c:v>
                </c:pt>
                <c:pt idx="473" formatCode="0.00">
                  <c:v>101.07316862307255</c:v>
                </c:pt>
                <c:pt idx="474" formatCode="0.00">
                  <c:v>101.08442072385694</c:v>
                </c:pt>
                <c:pt idx="475" formatCode="0.00">
                  <c:v>101.48595511800812</c:v>
                </c:pt>
                <c:pt idx="476" formatCode="0.00">
                  <c:v>101.83621630324376</c:v>
                </c:pt>
                <c:pt idx="477" formatCode="0.00">
                  <c:v>101.72773995740032</c:v>
                </c:pt>
                <c:pt idx="478" formatCode="0.00">
                  <c:v>101.06441649741527</c:v>
                </c:pt>
                <c:pt idx="479" formatCode="0.00">
                  <c:v>100.11975198127367</c:v>
                </c:pt>
                <c:pt idx="480" formatCode="0.00">
                  <c:v>98.94149193387851</c:v>
                </c:pt>
                <c:pt idx="481" formatCode="0.00">
                  <c:v>98.60735228787955</c:v>
                </c:pt>
                <c:pt idx="482" formatCode="0.00">
                  <c:v>98.518108389452181</c:v>
                </c:pt>
                <c:pt idx="483" formatCode="0.00">
                  <c:v>98.551310274155881</c:v>
                </c:pt>
                <c:pt idx="484" formatCode="0.00">
                  <c:v>98.946461400826394</c:v>
                </c:pt>
                <c:pt idx="485" formatCode="0.00">
                  <c:v>98.897376683985144</c:v>
                </c:pt>
                <c:pt idx="486" formatCode="0.00">
                  <c:v>97.676808041314132</c:v>
                </c:pt>
                <c:pt idx="487" formatCode="0.00">
                  <c:v>97.330288421018793</c:v>
                </c:pt>
                <c:pt idx="488" formatCode="0.00">
                  <c:v>97.366899000997876</c:v>
                </c:pt>
                <c:pt idx="489" formatCode="0.00">
                  <c:v>97.610171481796428</c:v>
                </c:pt>
                <c:pt idx="490" formatCode="0.00">
                  <c:v>98.555400505233536</c:v>
                </c:pt>
                <c:pt idx="491" formatCode="0.00">
                  <c:v>98.499464077091645</c:v>
                </c:pt>
                <c:pt idx="492" formatCode="0.00">
                  <c:v>100.14438366104199</c:v>
                </c:pt>
                <c:pt idx="493" formatCode="0.00">
                  <c:v>102.59831369458328</c:v>
                </c:pt>
                <c:pt idx="494" formatCode="0.00">
                  <c:v>105.53778762113066</c:v>
                </c:pt>
                <c:pt idx="495" formatCode="0.00">
                  <c:v>108.08227778649254</c:v>
                </c:pt>
                <c:pt idx="496" formatCode="0.00">
                  <c:v>110.01752129079927</c:v>
                </c:pt>
                <c:pt idx="497" formatCode="0.00">
                  <c:v>111.15456601577175</c:v>
                </c:pt>
                <c:pt idx="498" formatCode="0.00">
                  <c:v>112.31649685768946</c:v>
                </c:pt>
                <c:pt idx="499" formatCode="0.00">
                  <c:v>113.01698171951004</c:v>
                </c:pt>
                <c:pt idx="500" formatCode="0.00">
                  <c:v>113.61681154018271</c:v>
                </c:pt>
                <c:pt idx="501" formatCode="0.00">
                  <c:v>115.6590764643089</c:v>
                </c:pt>
                <c:pt idx="502" formatCode="0.00">
                  <c:v>118.04903262098733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7BF-4528-A7E1-32987513913C}"/>
            </c:ext>
          </c:extLst>
        </c:ser>
        <c:ser>
          <c:idx val="3"/>
          <c:order val="3"/>
          <c:tx>
            <c:strRef>
              <c:f>'Bollinger Bands'!$F$1</c:f>
              <c:strCache>
                <c:ptCount val="1"/>
                <c:pt idx="0">
                  <c:v>Upper Band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'Bollinger Bands'!$A$2:$A$504</c:f>
              <c:numCache>
                <c:formatCode>m/d/yyyy</c:formatCode>
                <c:ptCount val="503"/>
                <c:pt idx="0">
                  <c:v>45688</c:v>
                </c:pt>
                <c:pt idx="1">
                  <c:v>45687</c:v>
                </c:pt>
                <c:pt idx="2">
                  <c:v>45686</c:v>
                </c:pt>
                <c:pt idx="3">
                  <c:v>45685</c:v>
                </c:pt>
                <c:pt idx="4">
                  <c:v>45684</c:v>
                </c:pt>
                <c:pt idx="5">
                  <c:v>45681</c:v>
                </c:pt>
                <c:pt idx="6">
                  <c:v>45680</c:v>
                </c:pt>
                <c:pt idx="7">
                  <c:v>45679</c:v>
                </c:pt>
                <c:pt idx="8">
                  <c:v>45678</c:v>
                </c:pt>
                <c:pt idx="9">
                  <c:v>45674</c:v>
                </c:pt>
                <c:pt idx="10">
                  <c:v>45673</c:v>
                </c:pt>
                <c:pt idx="11">
                  <c:v>45672</c:v>
                </c:pt>
                <c:pt idx="12">
                  <c:v>45671</c:v>
                </c:pt>
                <c:pt idx="13">
                  <c:v>45670</c:v>
                </c:pt>
                <c:pt idx="14">
                  <c:v>45667</c:v>
                </c:pt>
                <c:pt idx="15">
                  <c:v>45665</c:v>
                </c:pt>
                <c:pt idx="16">
                  <c:v>45664</c:v>
                </c:pt>
                <c:pt idx="17">
                  <c:v>45663</c:v>
                </c:pt>
                <c:pt idx="18">
                  <c:v>45660</c:v>
                </c:pt>
                <c:pt idx="19">
                  <c:v>45659</c:v>
                </c:pt>
                <c:pt idx="20">
                  <c:v>45657</c:v>
                </c:pt>
                <c:pt idx="21">
                  <c:v>45656</c:v>
                </c:pt>
                <c:pt idx="22">
                  <c:v>45653</c:v>
                </c:pt>
                <c:pt idx="23">
                  <c:v>45652</c:v>
                </c:pt>
                <c:pt idx="24">
                  <c:v>45650</c:v>
                </c:pt>
                <c:pt idx="25">
                  <c:v>45649</c:v>
                </c:pt>
                <c:pt idx="26">
                  <c:v>45646</c:v>
                </c:pt>
                <c:pt idx="27">
                  <c:v>45645</c:v>
                </c:pt>
                <c:pt idx="28">
                  <c:v>45644</c:v>
                </c:pt>
                <c:pt idx="29">
                  <c:v>45643</c:v>
                </c:pt>
                <c:pt idx="30">
                  <c:v>45642</c:v>
                </c:pt>
                <c:pt idx="31">
                  <c:v>45639</c:v>
                </c:pt>
                <c:pt idx="32">
                  <c:v>45638</c:v>
                </c:pt>
                <c:pt idx="33">
                  <c:v>45637</c:v>
                </c:pt>
                <c:pt idx="34">
                  <c:v>45636</c:v>
                </c:pt>
                <c:pt idx="35">
                  <c:v>45635</c:v>
                </c:pt>
                <c:pt idx="36">
                  <c:v>45632</c:v>
                </c:pt>
                <c:pt idx="37">
                  <c:v>45631</c:v>
                </c:pt>
                <c:pt idx="38">
                  <c:v>45630</c:v>
                </c:pt>
                <c:pt idx="39">
                  <c:v>45629</c:v>
                </c:pt>
                <c:pt idx="40">
                  <c:v>45628</c:v>
                </c:pt>
                <c:pt idx="41">
                  <c:v>45625</c:v>
                </c:pt>
                <c:pt idx="42">
                  <c:v>45623</c:v>
                </c:pt>
                <c:pt idx="43">
                  <c:v>45622</c:v>
                </c:pt>
                <c:pt idx="44">
                  <c:v>45621</c:v>
                </c:pt>
                <c:pt idx="45">
                  <c:v>45618</c:v>
                </c:pt>
                <c:pt idx="46">
                  <c:v>45617</c:v>
                </c:pt>
                <c:pt idx="47">
                  <c:v>45616</c:v>
                </c:pt>
                <c:pt idx="48">
                  <c:v>45615</c:v>
                </c:pt>
                <c:pt idx="49">
                  <c:v>45614</c:v>
                </c:pt>
                <c:pt idx="50">
                  <c:v>45611</c:v>
                </c:pt>
                <c:pt idx="51">
                  <c:v>45610</c:v>
                </c:pt>
                <c:pt idx="52">
                  <c:v>45609</c:v>
                </c:pt>
                <c:pt idx="53">
                  <c:v>45608</c:v>
                </c:pt>
                <c:pt idx="54">
                  <c:v>45607</c:v>
                </c:pt>
                <c:pt idx="55">
                  <c:v>45604</c:v>
                </c:pt>
                <c:pt idx="56">
                  <c:v>45603</c:v>
                </c:pt>
                <c:pt idx="57">
                  <c:v>45602</c:v>
                </c:pt>
                <c:pt idx="58">
                  <c:v>45601</c:v>
                </c:pt>
                <c:pt idx="59">
                  <c:v>45600</c:v>
                </c:pt>
                <c:pt idx="60">
                  <c:v>45597</c:v>
                </c:pt>
                <c:pt idx="61">
                  <c:v>45596</c:v>
                </c:pt>
                <c:pt idx="62">
                  <c:v>45595</c:v>
                </c:pt>
                <c:pt idx="63">
                  <c:v>45594</c:v>
                </c:pt>
                <c:pt idx="64">
                  <c:v>45593</c:v>
                </c:pt>
                <c:pt idx="65">
                  <c:v>45590</c:v>
                </c:pt>
                <c:pt idx="66">
                  <c:v>45589</c:v>
                </c:pt>
                <c:pt idx="67">
                  <c:v>45588</c:v>
                </c:pt>
                <c:pt idx="68">
                  <c:v>45587</c:v>
                </c:pt>
                <c:pt idx="69">
                  <c:v>45586</c:v>
                </c:pt>
                <c:pt idx="70">
                  <c:v>45583</c:v>
                </c:pt>
                <c:pt idx="71">
                  <c:v>45582</c:v>
                </c:pt>
                <c:pt idx="72">
                  <c:v>45581</c:v>
                </c:pt>
                <c:pt idx="73">
                  <c:v>45580</c:v>
                </c:pt>
                <c:pt idx="74">
                  <c:v>45579</c:v>
                </c:pt>
                <c:pt idx="75">
                  <c:v>45576</c:v>
                </c:pt>
                <c:pt idx="76">
                  <c:v>45575</c:v>
                </c:pt>
                <c:pt idx="77">
                  <c:v>45574</c:v>
                </c:pt>
                <c:pt idx="78">
                  <c:v>45573</c:v>
                </c:pt>
                <c:pt idx="79">
                  <c:v>45572</c:v>
                </c:pt>
                <c:pt idx="80">
                  <c:v>45569</c:v>
                </c:pt>
                <c:pt idx="81">
                  <c:v>45568</c:v>
                </c:pt>
                <c:pt idx="82">
                  <c:v>45567</c:v>
                </c:pt>
                <c:pt idx="83">
                  <c:v>45566</c:v>
                </c:pt>
                <c:pt idx="84">
                  <c:v>45565</c:v>
                </c:pt>
                <c:pt idx="85">
                  <c:v>45562</c:v>
                </c:pt>
                <c:pt idx="86">
                  <c:v>45561</c:v>
                </c:pt>
                <c:pt idx="87">
                  <c:v>45560</c:v>
                </c:pt>
                <c:pt idx="88">
                  <c:v>45559</c:v>
                </c:pt>
                <c:pt idx="89">
                  <c:v>45558</c:v>
                </c:pt>
                <c:pt idx="90">
                  <c:v>45555</c:v>
                </c:pt>
                <c:pt idx="91">
                  <c:v>45554</c:v>
                </c:pt>
                <c:pt idx="92">
                  <c:v>45553</c:v>
                </c:pt>
                <c:pt idx="93">
                  <c:v>45552</c:v>
                </c:pt>
                <c:pt idx="94">
                  <c:v>45551</c:v>
                </c:pt>
                <c:pt idx="95">
                  <c:v>45548</c:v>
                </c:pt>
                <c:pt idx="96">
                  <c:v>45547</c:v>
                </c:pt>
                <c:pt idx="97">
                  <c:v>45546</c:v>
                </c:pt>
                <c:pt idx="98">
                  <c:v>45545</c:v>
                </c:pt>
                <c:pt idx="99">
                  <c:v>45544</c:v>
                </c:pt>
                <c:pt idx="100">
                  <c:v>45541</c:v>
                </c:pt>
                <c:pt idx="101">
                  <c:v>45540</c:v>
                </c:pt>
                <c:pt idx="102">
                  <c:v>45539</c:v>
                </c:pt>
                <c:pt idx="103">
                  <c:v>45538</c:v>
                </c:pt>
                <c:pt idx="104">
                  <c:v>45534</c:v>
                </c:pt>
                <c:pt idx="105">
                  <c:v>45533</c:v>
                </c:pt>
                <c:pt idx="106">
                  <c:v>45532</c:v>
                </c:pt>
                <c:pt idx="107">
                  <c:v>45531</c:v>
                </c:pt>
                <c:pt idx="108">
                  <c:v>45530</c:v>
                </c:pt>
                <c:pt idx="109">
                  <c:v>45527</c:v>
                </c:pt>
                <c:pt idx="110">
                  <c:v>45526</c:v>
                </c:pt>
                <c:pt idx="111">
                  <c:v>45525</c:v>
                </c:pt>
                <c:pt idx="112">
                  <c:v>45524</c:v>
                </c:pt>
                <c:pt idx="113">
                  <c:v>45523</c:v>
                </c:pt>
                <c:pt idx="114">
                  <c:v>45520</c:v>
                </c:pt>
                <c:pt idx="115">
                  <c:v>45519</c:v>
                </c:pt>
                <c:pt idx="116">
                  <c:v>45518</c:v>
                </c:pt>
                <c:pt idx="117">
                  <c:v>45517</c:v>
                </c:pt>
                <c:pt idx="118">
                  <c:v>45516</c:v>
                </c:pt>
                <c:pt idx="119">
                  <c:v>45513</c:v>
                </c:pt>
                <c:pt idx="120">
                  <c:v>45512</c:v>
                </c:pt>
                <c:pt idx="121">
                  <c:v>45511</c:v>
                </c:pt>
                <c:pt idx="122">
                  <c:v>45510</c:v>
                </c:pt>
                <c:pt idx="123">
                  <c:v>45509</c:v>
                </c:pt>
                <c:pt idx="124">
                  <c:v>45506</c:v>
                </c:pt>
                <c:pt idx="125">
                  <c:v>45505</c:v>
                </c:pt>
                <c:pt idx="126">
                  <c:v>45504</c:v>
                </c:pt>
                <c:pt idx="127">
                  <c:v>45503</c:v>
                </c:pt>
                <c:pt idx="128">
                  <c:v>45502</c:v>
                </c:pt>
                <c:pt idx="129">
                  <c:v>45499</c:v>
                </c:pt>
                <c:pt idx="130">
                  <c:v>45498</c:v>
                </c:pt>
                <c:pt idx="131">
                  <c:v>45497</c:v>
                </c:pt>
                <c:pt idx="132">
                  <c:v>45496</c:v>
                </c:pt>
                <c:pt idx="133">
                  <c:v>45495</c:v>
                </c:pt>
                <c:pt idx="134">
                  <c:v>45492</c:v>
                </c:pt>
                <c:pt idx="135">
                  <c:v>45491</c:v>
                </c:pt>
                <c:pt idx="136">
                  <c:v>45490</c:v>
                </c:pt>
                <c:pt idx="137">
                  <c:v>45489</c:v>
                </c:pt>
                <c:pt idx="138">
                  <c:v>45488</c:v>
                </c:pt>
                <c:pt idx="139">
                  <c:v>45485</c:v>
                </c:pt>
                <c:pt idx="140">
                  <c:v>45484</c:v>
                </c:pt>
                <c:pt idx="141">
                  <c:v>45483</c:v>
                </c:pt>
                <c:pt idx="142">
                  <c:v>45482</c:v>
                </c:pt>
                <c:pt idx="143">
                  <c:v>45481</c:v>
                </c:pt>
                <c:pt idx="144">
                  <c:v>45478</c:v>
                </c:pt>
                <c:pt idx="145">
                  <c:v>45476</c:v>
                </c:pt>
                <c:pt idx="146">
                  <c:v>45475</c:v>
                </c:pt>
                <c:pt idx="147">
                  <c:v>45474</c:v>
                </c:pt>
                <c:pt idx="148">
                  <c:v>45471</c:v>
                </c:pt>
                <c:pt idx="149">
                  <c:v>45470</c:v>
                </c:pt>
                <c:pt idx="150">
                  <c:v>45469</c:v>
                </c:pt>
                <c:pt idx="151">
                  <c:v>45468</c:v>
                </c:pt>
                <c:pt idx="152">
                  <c:v>45467</c:v>
                </c:pt>
                <c:pt idx="153">
                  <c:v>45464</c:v>
                </c:pt>
                <c:pt idx="154">
                  <c:v>45463</c:v>
                </c:pt>
                <c:pt idx="155">
                  <c:v>45461</c:v>
                </c:pt>
                <c:pt idx="156">
                  <c:v>45460</c:v>
                </c:pt>
                <c:pt idx="157">
                  <c:v>45457</c:v>
                </c:pt>
                <c:pt idx="158">
                  <c:v>45456</c:v>
                </c:pt>
                <c:pt idx="159">
                  <c:v>45455</c:v>
                </c:pt>
                <c:pt idx="160">
                  <c:v>45454</c:v>
                </c:pt>
                <c:pt idx="161">
                  <c:v>45453</c:v>
                </c:pt>
                <c:pt idx="162">
                  <c:v>45450</c:v>
                </c:pt>
                <c:pt idx="163">
                  <c:v>45449</c:v>
                </c:pt>
                <c:pt idx="164">
                  <c:v>45448</c:v>
                </c:pt>
                <c:pt idx="165">
                  <c:v>45447</c:v>
                </c:pt>
                <c:pt idx="166">
                  <c:v>45446</c:v>
                </c:pt>
                <c:pt idx="167">
                  <c:v>45443</c:v>
                </c:pt>
                <c:pt idx="168">
                  <c:v>45442</c:v>
                </c:pt>
                <c:pt idx="169">
                  <c:v>45441</c:v>
                </c:pt>
                <c:pt idx="170">
                  <c:v>45440</c:v>
                </c:pt>
                <c:pt idx="171">
                  <c:v>45436</c:v>
                </c:pt>
                <c:pt idx="172">
                  <c:v>45435</c:v>
                </c:pt>
                <c:pt idx="173">
                  <c:v>45434</c:v>
                </c:pt>
                <c:pt idx="174">
                  <c:v>45433</c:v>
                </c:pt>
                <c:pt idx="175">
                  <c:v>45432</c:v>
                </c:pt>
                <c:pt idx="176">
                  <c:v>45429</c:v>
                </c:pt>
                <c:pt idx="177">
                  <c:v>45428</c:v>
                </c:pt>
                <c:pt idx="178">
                  <c:v>45427</c:v>
                </c:pt>
                <c:pt idx="179">
                  <c:v>45426</c:v>
                </c:pt>
                <c:pt idx="180">
                  <c:v>45425</c:v>
                </c:pt>
                <c:pt idx="181">
                  <c:v>45422</c:v>
                </c:pt>
                <c:pt idx="182">
                  <c:v>45421</c:v>
                </c:pt>
                <c:pt idx="183">
                  <c:v>45420</c:v>
                </c:pt>
                <c:pt idx="184">
                  <c:v>45419</c:v>
                </c:pt>
                <c:pt idx="185">
                  <c:v>45418</c:v>
                </c:pt>
                <c:pt idx="186">
                  <c:v>45415</c:v>
                </c:pt>
                <c:pt idx="187">
                  <c:v>45414</c:v>
                </c:pt>
                <c:pt idx="188">
                  <c:v>45413</c:v>
                </c:pt>
                <c:pt idx="189">
                  <c:v>45412</c:v>
                </c:pt>
                <c:pt idx="190">
                  <c:v>45411</c:v>
                </c:pt>
                <c:pt idx="191">
                  <c:v>45408</c:v>
                </c:pt>
                <c:pt idx="192">
                  <c:v>45407</c:v>
                </c:pt>
                <c:pt idx="193">
                  <c:v>45406</c:v>
                </c:pt>
                <c:pt idx="194">
                  <c:v>45405</c:v>
                </c:pt>
                <c:pt idx="195">
                  <c:v>45404</c:v>
                </c:pt>
                <c:pt idx="196">
                  <c:v>45401</c:v>
                </c:pt>
                <c:pt idx="197">
                  <c:v>45400</c:v>
                </c:pt>
                <c:pt idx="198">
                  <c:v>45399</c:v>
                </c:pt>
                <c:pt idx="199">
                  <c:v>45398</c:v>
                </c:pt>
                <c:pt idx="200">
                  <c:v>45397</c:v>
                </c:pt>
                <c:pt idx="201">
                  <c:v>45394</c:v>
                </c:pt>
                <c:pt idx="202">
                  <c:v>45393</c:v>
                </c:pt>
                <c:pt idx="203">
                  <c:v>45392</c:v>
                </c:pt>
                <c:pt idx="204">
                  <c:v>45391</c:v>
                </c:pt>
                <c:pt idx="205">
                  <c:v>45390</c:v>
                </c:pt>
                <c:pt idx="206">
                  <c:v>45387</c:v>
                </c:pt>
                <c:pt idx="207">
                  <c:v>45386</c:v>
                </c:pt>
                <c:pt idx="208">
                  <c:v>45385</c:v>
                </c:pt>
                <c:pt idx="209">
                  <c:v>45384</c:v>
                </c:pt>
                <c:pt idx="210">
                  <c:v>45383</c:v>
                </c:pt>
                <c:pt idx="211">
                  <c:v>45379</c:v>
                </c:pt>
                <c:pt idx="212">
                  <c:v>45378</c:v>
                </c:pt>
                <c:pt idx="213">
                  <c:v>45377</c:v>
                </c:pt>
                <c:pt idx="214">
                  <c:v>45376</c:v>
                </c:pt>
                <c:pt idx="215">
                  <c:v>45373</c:v>
                </c:pt>
                <c:pt idx="216">
                  <c:v>45372</c:v>
                </c:pt>
                <c:pt idx="217">
                  <c:v>45371</c:v>
                </c:pt>
                <c:pt idx="218">
                  <c:v>45370</c:v>
                </c:pt>
                <c:pt idx="219">
                  <c:v>45369</c:v>
                </c:pt>
                <c:pt idx="220">
                  <c:v>45366</c:v>
                </c:pt>
                <c:pt idx="221">
                  <c:v>45365</c:v>
                </c:pt>
                <c:pt idx="222">
                  <c:v>45364</c:v>
                </c:pt>
                <c:pt idx="223">
                  <c:v>45363</c:v>
                </c:pt>
                <c:pt idx="224">
                  <c:v>45362</c:v>
                </c:pt>
                <c:pt idx="225">
                  <c:v>45359</c:v>
                </c:pt>
                <c:pt idx="226">
                  <c:v>45358</c:v>
                </c:pt>
                <c:pt idx="227">
                  <c:v>45357</c:v>
                </c:pt>
                <c:pt idx="228">
                  <c:v>45356</c:v>
                </c:pt>
                <c:pt idx="229">
                  <c:v>45355</c:v>
                </c:pt>
                <c:pt idx="230">
                  <c:v>45352</c:v>
                </c:pt>
                <c:pt idx="231">
                  <c:v>45351</c:v>
                </c:pt>
                <c:pt idx="232">
                  <c:v>45350</c:v>
                </c:pt>
                <c:pt idx="233">
                  <c:v>45349</c:v>
                </c:pt>
                <c:pt idx="234">
                  <c:v>45348</c:v>
                </c:pt>
                <c:pt idx="235">
                  <c:v>45345</c:v>
                </c:pt>
                <c:pt idx="236">
                  <c:v>45344</c:v>
                </c:pt>
                <c:pt idx="237">
                  <c:v>45343</c:v>
                </c:pt>
                <c:pt idx="238">
                  <c:v>45342</c:v>
                </c:pt>
                <c:pt idx="239">
                  <c:v>45338</c:v>
                </c:pt>
                <c:pt idx="240">
                  <c:v>45337</c:v>
                </c:pt>
                <c:pt idx="241">
                  <c:v>45336</c:v>
                </c:pt>
                <c:pt idx="242">
                  <c:v>45335</c:v>
                </c:pt>
                <c:pt idx="243">
                  <c:v>45334</c:v>
                </c:pt>
                <c:pt idx="244">
                  <c:v>45331</c:v>
                </c:pt>
                <c:pt idx="245">
                  <c:v>45330</c:v>
                </c:pt>
                <c:pt idx="246">
                  <c:v>45329</c:v>
                </c:pt>
                <c:pt idx="247">
                  <c:v>45328</c:v>
                </c:pt>
                <c:pt idx="248">
                  <c:v>45327</c:v>
                </c:pt>
                <c:pt idx="249">
                  <c:v>45324</c:v>
                </c:pt>
                <c:pt idx="250">
                  <c:v>45323</c:v>
                </c:pt>
                <c:pt idx="251">
                  <c:v>45322</c:v>
                </c:pt>
                <c:pt idx="252">
                  <c:v>45321</c:v>
                </c:pt>
                <c:pt idx="253">
                  <c:v>45320</c:v>
                </c:pt>
                <c:pt idx="254">
                  <c:v>45317</c:v>
                </c:pt>
                <c:pt idx="255">
                  <c:v>45316</c:v>
                </c:pt>
                <c:pt idx="256">
                  <c:v>45315</c:v>
                </c:pt>
                <c:pt idx="257">
                  <c:v>45314</c:v>
                </c:pt>
                <c:pt idx="258">
                  <c:v>45313</c:v>
                </c:pt>
                <c:pt idx="259">
                  <c:v>45310</c:v>
                </c:pt>
                <c:pt idx="260">
                  <c:v>45309</c:v>
                </c:pt>
                <c:pt idx="261">
                  <c:v>45308</c:v>
                </c:pt>
                <c:pt idx="262">
                  <c:v>45307</c:v>
                </c:pt>
                <c:pt idx="263">
                  <c:v>45303</c:v>
                </c:pt>
                <c:pt idx="264">
                  <c:v>45302</c:v>
                </c:pt>
                <c:pt idx="265">
                  <c:v>45301</c:v>
                </c:pt>
                <c:pt idx="266">
                  <c:v>45300</c:v>
                </c:pt>
                <c:pt idx="267">
                  <c:v>45299</c:v>
                </c:pt>
                <c:pt idx="268">
                  <c:v>45296</c:v>
                </c:pt>
                <c:pt idx="269">
                  <c:v>45295</c:v>
                </c:pt>
                <c:pt idx="270">
                  <c:v>45294</c:v>
                </c:pt>
                <c:pt idx="271">
                  <c:v>45293</c:v>
                </c:pt>
                <c:pt idx="272">
                  <c:v>45289</c:v>
                </c:pt>
                <c:pt idx="273">
                  <c:v>45288</c:v>
                </c:pt>
                <c:pt idx="274">
                  <c:v>45287</c:v>
                </c:pt>
                <c:pt idx="275">
                  <c:v>45286</c:v>
                </c:pt>
                <c:pt idx="276">
                  <c:v>45282</c:v>
                </c:pt>
                <c:pt idx="277">
                  <c:v>45281</c:v>
                </c:pt>
                <c:pt idx="278">
                  <c:v>45280</c:v>
                </c:pt>
                <c:pt idx="279">
                  <c:v>45279</c:v>
                </c:pt>
                <c:pt idx="280">
                  <c:v>45278</c:v>
                </c:pt>
                <c:pt idx="281">
                  <c:v>45275</c:v>
                </c:pt>
                <c:pt idx="282">
                  <c:v>45274</c:v>
                </c:pt>
                <c:pt idx="283">
                  <c:v>45273</c:v>
                </c:pt>
                <c:pt idx="284">
                  <c:v>45272</c:v>
                </c:pt>
                <c:pt idx="285">
                  <c:v>45271</c:v>
                </c:pt>
                <c:pt idx="286">
                  <c:v>45268</c:v>
                </c:pt>
                <c:pt idx="287">
                  <c:v>45267</c:v>
                </c:pt>
                <c:pt idx="288">
                  <c:v>45266</c:v>
                </c:pt>
                <c:pt idx="289">
                  <c:v>45265</c:v>
                </c:pt>
                <c:pt idx="290">
                  <c:v>45264</c:v>
                </c:pt>
                <c:pt idx="291">
                  <c:v>45261</c:v>
                </c:pt>
                <c:pt idx="292">
                  <c:v>45260</c:v>
                </c:pt>
                <c:pt idx="293">
                  <c:v>45259</c:v>
                </c:pt>
                <c:pt idx="294">
                  <c:v>45258</c:v>
                </c:pt>
                <c:pt idx="295">
                  <c:v>45257</c:v>
                </c:pt>
                <c:pt idx="296">
                  <c:v>45254</c:v>
                </c:pt>
                <c:pt idx="297">
                  <c:v>45252</c:v>
                </c:pt>
                <c:pt idx="298">
                  <c:v>45251</c:v>
                </c:pt>
                <c:pt idx="299">
                  <c:v>45250</c:v>
                </c:pt>
                <c:pt idx="300">
                  <c:v>45247</c:v>
                </c:pt>
                <c:pt idx="301">
                  <c:v>45246</c:v>
                </c:pt>
                <c:pt idx="302">
                  <c:v>45245</c:v>
                </c:pt>
                <c:pt idx="303">
                  <c:v>45244</c:v>
                </c:pt>
                <c:pt idx="304">
                  <c:v>45243</c:v>
                </c:pt>
                <c:pt idx="305">
                  <c:v>45240</c:v>
                </c:pt>
                <c:pt idx="306">
                  <c:v>45239</c:v>
                </c:pt>
                <c:pt idx="307">
                  <c:v>45238</c:v>
                </c:pt>
                <c:pt idx="308">
                  <c:v>45237</c:v>
                </c:pt>
                <c:pt idx="309">
                  <c:v>45236</c:v>
                </c:pt>
                <c:pt idx="310">
                  <c:v>45233</c:v>
                </c:pt>
                <c:pt idx="311">
                  <c:v>45232</c:v>
                </c:pt>
                <c:pt idx="312">
                  <c:v>45231</c:v>
                </c:pt>
                <c:pt idx="313">
                  <c:v>45230</c:v>
                </c:pt>
                <c:pt idx="314">
                  <c:v>45229</c:v>
                </c:pt>
                <c:pt idx="315">
                  <c:v>45226</c:v>
                </c:pt>
                <c:pt idx="316">
                  <c:v>45225</c:v>
                </c:pt>
                <c:pt idx="317">
                  <c:v>45224</c:v>
                </c:pt>
                <c:pt idx="318">
                  <c:v>45223</c:v>
                </c:pt>
                <c:pt idx="319">
                  <c:v>45222</c:v>
                </c:pt>
                <c:pt idx="320">
                  <c:v>45219</c:v>
                </c:pt>
                <c:pt idx="321">
                  <c:v>45218</c:v>
                </c:pt>
                <c:pt idx="322">
                  <c:v>45217</c:v>
                </c:pt>
                <c:pt idx="323">
                  <c:v>45216</c:v>
                </c:pt>
                <c:pt idx="324">
                  <c:v>45215</c:v>
                </c:pt>
                <c:pt idx="325">
                  <c:v>45212</c:v>
                </c:pt>
                <c:pt idx="326">
                  <c:v>45211</c:v>
                </c:pt>
                <c:pt idx="327">
                  <c:v>45210</c:v>
                </c:pt>
                <c:pt idx="328">
                  <c:v>45209</c:v>
                </c:pt>
                <c:pt idx="329">
                  <c:v>45208</c:v>
                </c:pt>
                <c:pt idx="330">
                  <c:v>45205</c:v>
                </c:pt>
                <c:pt idx="331">
                  <c:v>45204</c:v>
                </c:pt>
                <c:pt idx="332">
                  <c:v>45203</c:v>
                </c:pt>
                <c:pt idx="333">
                  <c:v>45202</c:v>
                </c:pt>
                <c:pt idx="334">
                  <c:v>45201</c:v>
                </c:pt>
                <c:pt idx="335">
                  <c:v>45198</c:v>
                </c:pt>
                <c:pt idx="336">
                  <c:v>45197</c:v>
                </c:pt>
                <c:pt idx="337">
                  <c:v>45196</c:v>
                </c:pt>
                <c:pt idx="338">
                  <c:v>45195</c:v>
                </c:pt>
                <c:pt idx="339">
                  <c:v>45194</c:v>
                </c:pt>
                <c:pt idx="340">
                  <c:v>45191</c:v>
                </c:pt>
                <c:pt idx="341">
                  <c:v>45190</c:v>
                </c:pt>
                <c:pt idx="342">
                  <c:v>45189</c:v>
                </c:pt>
                <c:pt idx="343">
                  <c:v>45188</c:v>
                </c:pt>
                <c:pt idx="344">
                  <c:v>45187</c:v>
                </c:pt>
                <c:pt idx="345">
                  <c:v>45184</c:v>
                </c:pt>
                <c:pt idx="346">
                  <c:v>45183</c:v>
                </c:pt>
                <c:pt idx="347">
                  <c:v>45182</c:v>
                </c:pt>
                <c:pt idx="348">
                  <c:v>45181</c:v>
                </c:pt>
                <c:pt idx="349">
                  <c:v>45180</c:v>
                </c:pt>
                <c:pt idx="350">
                  <c:v>45177</c:v>
                </c:pt>
                <c:pt idx="351">
                  <c:v>45176</c:v>
                </c:pt>
                <c:pt idx="352">
                  <c:v>45175</c:v>
                </c:pt>
                <c:pt idx="353">
                  <c:v>45174</c:v>
                </c:pt>
                <c:pt idx="354">
                  <c:v>45170</c:v>
                </c:pt>
                <c:pt idx="355">
                  <c:v>45169</c:v>
                </c:pt>
                <c:pt idx="356">
                  <c:v>45168</c:v>
                </c:pt>
                <c:pt idx="357">
                  <c:v>45167</c:v>
                </c:pt>
                <c:pt idx="358">
                  <c:v>45166</c:v>
                </c:pt>
                <c:pt idx="359">
                  <c:v>45163</c:v>
                </c:pt>
                <c:pt idx="360">
                  <c:v>45162</c:v>
                </c:pt>
                <c:pt idx="361">
                  <c:v>45161</c:v>
                </c:pt>
                <c:pt idx="362">
                  <c:v>45160</c:v>
                </c:pt>
                <c:pt idx="363">
                  <c:v>45159</c:v>
                </c:pt>
                <c:pt idx="364">
                  <c:v>45156</c:v>
                </c:pt>
                <c:pt idx="365">
                  <c:v>45155</c:v>
                </c:pt>
                <c:pt idx="366">
                  <c:v>45154</c:v>
                </c:pt>
                <c:pt idx="367">
                  <c:v>45153</c:v>
                </c:pt>
                <c:pt idx="368">
                  <c:v>45152</c:v>
                </c:pt>
                <c:pt idx="369">
                  <c:v>45149</c:v>
                </c:pt>
                <c:pt idx="370">
                  <c:v>45148</c:v>
                </c:pt>
                <c:pt idx="371">
                  <c:v>45147</c:v>
                </c:pt>
                <c:pt idx="372">
                  <c:v>45146</c:v>
                </c:pt>
                <c:pt idx="373">
                  <c:v>45145</c:v>
                </c:pt>
                <c:pt idx="374">
                  <c:v>45142</c:v>
                </c:pt>
                <c:pt idx="375">
                  <c:v>45141</c:v>
                </c:pt>
                <c:pt idx="376">
                  <c:v>45140</c:v>
                </c:pt>
                <c:pt idx="377">
                  <c:v>45139</c:v>
                </c:pt>
                <c:pt idx="378">
                  <c:v>45138</c:v>
                </c:pt>
                <c:pt idx="379">
                  <c:v>45135</c:v>
                </c:pt>
                <c:pt idx="380">
                  <c:v>45134</c:v>
                </c:pt>
                <c:pt idx="381">
                  <c:v>45133</c:v>
                </c:pt>
                <c:pt idx="382">
                  <c:v>45132</c:v>
                </c:pt>
                <c:pt idx="383">
                  <c:v>45131</c:v>
                </c:pt>
                <c:pt idx="384">
                  <c:v>45128</c:v>
                </c:pt>
                <c:pt idx="385">
                  <c:v>45127</c:v>
                </c:pt>
                <c:pt idx="386">
                  <c:v>45126</c:v>
                </c:pt>
                <c:pt idx="387">
                  <c:v>45125</c:v>
                </c:pt>
                <c:pt idx="388">
                  <c:v>45124</c:v>
                </c:pt>
                <c:pt idx="389">
                  <c:v>45121</c:v>
                </c:pt>
                <c:pt idx="390">
                  <c:v>45120</c:v>
                </c:pt>
                <c:pt idx="391">
                  <c:v>45119</c:v>
                </c:pt>
                <c:pt idx="392">
                  <c:v>45118</c:v>
                </c:pt>
                <c:pt idx="393">
                  <c:v>45117</c:v>
                </c:pt>
                <c:pt idx="394">
                  <c:v>45114</c:v>
                </c:pt>
                <c:pt idx="395">
                  <c:v>45113</c:v>
                </c:pt>
                <c:pt idx="396">
                  <c:v>45112</c:v>
                </c:pt>
                <c:pt idx="397">
                  <c:v>45110</c:v>
                </c:pt>
                <c:pt idx="398">
                  <c:v>45107</c:v>
                </c:pt>
                <c:pt idx="399">
                  <c:v>45106</c:v>
                </c:pt>
                <c:pt idx="400">
                  <c:v>45105</c:v>
                </c:pt>
                <c:pt idx="401">
                  <c:v>45104</c:v>
                </c:pt>
                <c:pt idx="402">
                  <c:v>45103</c:v>
                </c:pt>
                <c:pt idx="403">
                  <c:v>45100</c:v>
                </c:pt>
                <c:pt idx="404">
                  <c:v>45099</c:v>
                </c:pt>
                <c:pt idx="405">
                  <c:v>45098</c:v>
                </c:pt>
                <c:pt idx="406">
                  <c:v>45097</c:v>
                </c:pt>
                <c:pt idx="407">
                  <c:v>45093</c:v>
                </c:pt>
                <c:pt idx="408">
                  <c:v>45092</c:v>
                </c:pt>
                <c:pt idx="409">
                  <c:v>45091</c:v>
                </c:pt>
                <c:pt idx="410">
                  <c:v>45090</c:v>
                </c:pt>
                <c:pt idx="411">
                  <c:v>45089</c:v>
                </c:pt>
                <c:pt idx="412">
                  <c:v>45086</c:v>
                </c:pt>
                <c:pt idx="413">
                  <c:v>45085</c:v>
                </c:pt>
                <c:pt idx="414">
                  <c:v>45084</c:v>
                </c:pt>
                <c:pt idx="415">
                  <c:v>45083</c:v>
                </c:pt>
                <c:pt idx="416">
                  <c:v>45082</c:v>
                </c:pt>
                <c:pt idx="417">
                  <c:v>45079</c:v>
                </c:pt>
                <c:pt idx="418">
                  <c:v>45078</c:v>
                </c:pt>
                <c:pt idx="419">
                  <c:v>45077</c:v>
                </c:pt>
                <c:pt idx="420">
                  <c:v>45076</c:v>
                </c:pt>
                <c:pt idx="421">
                  <c:v>45072</c:v>
                </c:pt>
                <c:pt idx="422">
                  <c:v>45071</c:v>
                </c:pt>
                <c:pt idx="423">
                  <c:v>45070</c:v>
                </c:pt>
                <c:pt idx="424">
                  <c:v>45069</c:v>
                </c:pt>
                <c:pt idx="425">
                  <c:v>45068</c:v>
                </c:pt>
                <c:pt idx="426">
                  <c:v>45065</c:v>
                </c:pt>
                <c:pt idx="427">
                  <c:v>45064</c:v>
                </c:pt>
                <c:pt idx="428">
                  <c:v>45063</c:v>
                </c:pt>
                <c:pt idx="429">
                  <c:v>45062</c:v>
                </c:pt>
                <c:pt idx="430">
                  <c:v>45061</c:v>
                </c:pt>
                <c:pt idx="431">
                  <c:v>45058</c:v>
                </c:pt>
                <c:pt idx="432">
                  <c:v>45057</c:v>
                </c:pt>
                <c:pt idx="433">
                  <c:v>45056</c:v>
                </c:pt>
                <c:pt idx="434">
                  <c:v>45055</c:v>
                </c:pt>
                <c:pt idx="435">
                  <c:v>45054</c:v>
                </c:pt>
                <c:pt idx="436">
                  <c:v>45051</c:v>
                </c:pt>
                <c:pt idx="437">
                  <c:v>45050</c:v>
                </c:pt>
                <c:pt idx="438">
                  <c:v>45049</c:v>
                </c:pt>
                <c:pt idx="439">
                  <c:v>45048</c:v>
                </c:pt>
                <c:pt idx="440">
                  <c:v>45047</c:v>
                </c:pt>
                <c:pt idx="441">
                  <c:v>45044</c:v>
                </c:pt>
                <c:pt idx="442">
                  <c:v>45043</c:v>
                </c:pt>
                <c:pt idx="443">
                  <c:v>45042</c:v>
                </c:pt>
                <c:pt idx="444">
                  <c:v>45041</c:v>
                </c:pt>
                <c:pt idx="445">
                  <c:v>45040</c:v>
                </c:pt>
                <c:pt idx="446">
                  <c:v>45037</c:v>
                </c:pt>
                <c:pt idx="447">
                  <c:v>45036</c:v>
                </c:pt>
                <c:pt idx="448">
                  <c:v>45035</c:v>
                </c:pt>
                <c:pt idx="449">
                  <c:v>45034</c:v>
                </c:pt>
                <c:pt idx="450">
                  <c:v>45033</c:v>
                </c:pt>
                <c:pt idx="451">
                  <c:v>45030</c:v>
                </c:pt>
                <c:pt idx="452">
                  <c:v>45029</c:v>
                </c:pt>
                <c:pt idx="453">
                  <c:v>45028</c:v>
                </c:pt>
                <c:pt idx="454">
                  <c:v>45027</c:v>
                </c:pt>
                <c:pt idx="455">
                  <c:v>45026</c:v>
                </c:pt>
                <c:pt idx="456">
                  <c:v>45022</c:v>
                </c:pt>
                <c:pt idx="457">
                  <c:v>45021</c:v>
                </c:pt>
                <c:pt idx="458">
                  <c:v>45020</c:v>
                </c:pt>
                <c:pt idx="459">
                  <c:v>45019</c:v>
                </c:pt>
                <c:pt idx="460">
                  <c:v>45016</c:v>
                </c:pt>
                <c:pt idx="461">
                  <c:v>45015</c:v>
                </c:pt>
                <c:pt idx="462">
                  <c:v>45014</c:v>
                </c:pt>
                <c:pt idx="463">
                  <c:v>45013</c:v>
                </c:pt>
                <c:pt idx="464">
                  <c:v>45012</c:v>
                </c:pt>
                <c:pt idx="465">
                  <c:v>45009</c:v>
                </c:pt>
                <c:pt idx="466">
                  <c:v>45008</c:v>
                </c:pt>
                <c:pt idx="467">
                  <c:v>45007</c:v>
                </c:pt>
                <c:pt idx="468">
                  <c:v>45006</c:v>
                </c:pt>
                <c:pt idx="469">
                  <c:v>45005</c:v>
                </c:pt>
                <c:pt idx="470">
                  <c:v>45002</c:v>
                </c:pt>
                <c:pt idx="471">
                  <c:v>45001</c:v>
                </c:pt>
                <c:pt idx="472">
                  <c:v>45000</c:v>
                </c:pt>
                <c:pt idx="473">
                  <c:v>44999</c:v>
                </c:pt>
                <c:pt idx="474">
                  <c:v>44998</c:v>
                </c:pt>
                <c:pt idx="475">
                  <c:v>44995</c:v>
                </c:pt>
                <c:pt idx="476">
                  <c:v>44994</c:v>
                </c:pt>
                <c:pt idx="477">
                  <c:v>44993</c:v>
                </c:pt>
                <c:pt idx="478">
                  <c:v>44992</c:v>
                </c:pt>
                <c:pt idx="479">
                  <c:v>44991</c:v>
                </c:pt>
                <c:pt idx="480">
                  <c:v>44988</c:v>
                </c:pt>
                <c:pt idx="481">
                  <c:v>44987</c:v>
                </c:pt>
                <c:pt idx="482">
                  <c:v>44986</c:v>
                </c:pt>
                <c:pt idx="483">
                  <c:v>44985</c:v>
                </c:pt>
                <c:pt idx="484">
                  <c:v>44984</c:v>
                </c:pt>
                <c:pt idx="485">
                  <c:v>44981</c:v>
                </c:pt>
                <c:pt idx="486">
                  <c:v>44980</c:v>
                </c:pt>
                <c:pt idx="487">
                  <c:v>44979</c:v>
                </c:pt>
                <c:pt idx="488">
                  <c:v>44978</c:v>
                </c:pt>
                <c:pt idx="489">
                  <c:v>44974</c:v>
                </c:pt>
                <c:pt idx="490">
                  <c:v>44973</c:v>
                </c:pt>
                <c:pt idx="491">
                  <c:v>44972</c:v>
                </c:pt>
                <c:pt idx="492">
                  <c:v>44971</c:v>
                </c:pt>
                <c:pt idx="493">
                  <c:v>44970</c:v>
                </c:pt>
                <c:pt idx="494">
                  <c:v>44967</c:v>
                </c:pt>
                <c:pt idx="495">
                  <c:v>44966</c:v>
                </c:pt>
                <c:pt idx="496">
                  <c:v>44965</c:v>
                </c:pt>
                <c:pt idx="497">
                  <c:v>44964</c:v>
                </c:pt>
                <c:pt idx="498">
                  <c:v>44963</c:v>
                </c:pt>
                <c:pt idx="499">
                  <c:v>44960</c:v>
                </c:pt>
                <c:pt idx="500">
                  <c:v>44959</c:v>
                </c:pt>
                <c:pt idx="501">
                  <c:v>44958</c:v>
                </c:pt>
                <c:pt idx="502">
                  <c:v>44957</c:v>
                </c:pt>
              </c:numCache>
            </c:numRef>
          </c:cat>
          <c:val>
            <c:numRef>
              <c:f>'Bollinger Bands'!$F$2:$F$504</c:f>
              <c:numCache>
                <c:formatCode>General</c:formatCode>
                <c:ptCount val="503"/>
                <c:pt idx="19" formatCode="0.00">
                  <c:v>56.273600282175877</c:v>
                </c:pt>
                <c:pt idx="20" formatCode="0.00">
                  <c:v>56.136161227436524</c:v>
                </c:pt>
                <c:pt idx="21" formatCode="0.00">
                  <c:v>55.76677689927488</c:v>
                </c:pt>
                <c:pt idx="22" formatCode="0.00">
                  <c:v>55.559007558260532</c:v>
                </c:pt>
                <c:pt idx="23" formatCode="0.00">
                  <c:v>55.178130372544615</c:v>
                </c:pt>
                <c:pt idx="24" formatCode="0.00">
                  <c:v>55.425117298690381</c:v>
                </c:pt>
                <c:pt idx="25" formatCode="0.00">
                  <c:v>55.70030054609397</c:v>
                </c:pt>
                <c:pt idx="26" formatCode="0.00">
                  <c:v>56.300281349940221</c:v>
                </c:pt>
                <c:pt idx="27" formatCode="0.00">
                  <c:v>56.848666357881726</c:v>
                </c:pt>
                <c:pt idx="28" formatCode="0.00">
                  <c:v>57.159996411077046</c:v>
                </c:pt>
                <c:pt idx="29" formatCode="0.00">
                  <c:v>58.725180857402691</c:v>
                </c:pt>
                <c:pt idx="30" formatCode="0.00">
                  <c:v>60.080551050495032</c:v>
                </c:pt>
                <c:pt idx="31" formatCode="0.00">
                  <c:v>60.575812330108491</c:v>
                </c:pt>
                <c:pt idx="32" formatCode="0.00">
                  <c:v>60.940259229666928</c:v>
                </c:pt>
                <c:pt idx="33" formatCode="0.00">
                  <c:v>61.319847023029567</c:v>
                </c:pt>
                <c:pt idx="34" formatCode="0.00">
                  <c:v>61.55007012772451</c:v>
                </c:pt>
                <c:pt idx="35" formatCode="0.00">
                  <c:v>61.773774431150521</c:v>
                </c:pt>
                <c:pt idx="36" formatCode="0.00">
                  <c:v>61.829656689813412</c:v>
                </c:pt>
                <c:pt idx="37" formatCode="0.00">
                  <c:v>61.866432212660392</c:v>
                </c:pt>
                <c:pt idx="38" formatCode="0.00">
                  <c:v>62.069259836194654</c:v>
                </c:pt>
                <c:pt idx="39" formatCode="0.00">
                  <c:v>61.977192353127897</c:v>
                </c:pt>
                <c:pt idx="40" formatCode="0.00">
                  <c:v>61.78096742695098</c:v>
                </c:pt>
                <c:pt idx="41" formatCode="0.00">
                  <c:v>61.699361611031236</c:v>
                </c:pt>
                <c:pt idx="42" formatCode="0.00">
                  <c:v>61.495240093245826</c:v>
                </c:pt>
                <c:pt idx="43" formatCode="0.00">
                  <c:v>61.400602373689956</c:v>
                </c:pt>
                <c:pt idx="44" formatCode="0.00">
                  <c:v>61.372462447533259</c:v>
                </c:pt>
                <c:pt idx="45" formatCode="0.00">
                  <c:v>61.735194888218928</c:v>
                </c:pt>
                <c:pt idx="46" formatCode="0.00">
                  <c:v>62.053146424304202</c:v>
                </c:pt>
                <c:pt idx="47" formatCode="0.00">
                  <c:v>62.412400266835178</c:v>
                </c:pt>
                <c:pt idx="48" formatCode="0.00">
                  <c:v>62.730068670088087</c:v>
                </c:pt>
                <c:pt idx="49" formatCode="0.00">
                  <c:v>62.333187235613494</c:v>
                </c:pt>
                <c:pt idx="50" formatCode="0.00">
                  <c:v>61.720984773133019</c:v>
                </c:pt>
                <c:pt idx="51" formatCode="0.00">
                  <c:v>61.342832608209136</c:v>
                </c:pt>
                <c:pt idx="52" formatCode="0.00">
                  <c:v>60.883388852362565</c:v>
                </c:pt>
                <c:pt idx="53" formatCode="0.00">
                  <c:v>60.30789429634104</c:v>
                </c:pt>
                <c:pt idx="54" formatCode="0.00">
                  <c:v>59.719325313322379</c:v>
                </c:pt>
                <c:pt idx="55" formatCode="0.00">
                  <c:v>59.037561332259585</c:v>
                </c:pt>
                <c:pt idx="56" formatCode="0.00">
                  <c:v>58.599195501450396</c:v>
                </c:pt>
                <c:pt idx="57" formatCode="0.00">
                  <c:v>58.121494383528798</c:v>
                </c:pt>
                <c:pt idx="58" formatCode="0.00">
                  <c:v>57.038807066371966</c:v>
                </c:pt>
                <c:pt idx="59" formatCode="0.00">
                  <c:v>56.323414422568241</c:v>
                </c:pt>
                <c:pt idx="60" formatCode="0.00">
                  <c:v>55.98166285990915</c:v>
                </c:pt>
                <c:pt idx="61" formatCode="0.00">
                  <c:v>55.710131830003355</c:v>
                </c:pt>
                <c:pt idx="62" formatCode="0.00">
                  <c:v>55.881095494979256</c:v>
                </c:pt>
                <c:pt idx="63" formatCode="0.00">
                  <c:v>55.890885698254678</c:v>
                </c:pt>
                <c:pt idx="64" formatCode="0.00">
                  <c:v>55.375158979971772</c:v>
                </c:pt>
                <c:pt idx="65" formatCode="0.00">
                  <c:v>55.382263895823506</c:v>
                </c:pt>
                <c:pt idx="66" formatCode="0.00">
                  <c:v>55.378637028539849</c:v>
                </c:pt>
                <c:pt idx="67" formatCode="0.00">
                  <c:v>55.372577178110127</c:v>
                </c:pt>
                <c:pt idx="68" formatCode="0.00">
                  <c:v>55.382945590812724</c:v>
                </c:pt>
                <c:pt idx="69" formatCode="0.00">
                  <c:v>55.44498772502331</c:v>
                </c:pt>
                <c:pt idx="70" formatCode="0.00">
                  <c:v>55.485047239399172</c:v>
                </c:pt>
                <c:pt idx="71" formatCode="0.00">
                  <c:v>55.475522452904492</c:v>
                </c:pt>
                <c:pt idx="72" formatCode="0.00">
                  <c:v>55.35519758565782</c:v>
                </c:pt>
                <c:pt idx="73" formatCode="0.00">
                  <c:v>55.019117352947731</c:v>
                </c:pt>
                <c:pt idx="74" formatCode="0.00">
                  <c:v>54.607204999730435</c:v>
                </c:pt>
                <c:pt idx="75" formatCode="0.00">
                  <c:v>54.280855854226246</c:v>
                </c:pt>
                <c:pt idx="76" formatCode="0.00">
                  <c:v>53.888385767936448</c:v>
                </c:pt>
                <c:pt idx="77" formatCode="0.00">
                  <c:v>53.562118896411704</c:v>
                </c:pt>
                <c:pt idx="78" formatCode="0.00">
                  <c:v>53.288355796057196</c:v>
                </c:pt>
                <c:pt idx="79" formatCode="0.00">
                  <c:v>53.126034891506116</c:v>
                </c:pt>
                <c:pt idx="80" formatCode="0.00">
                  <c:v>53.132825136287977</c:v>
                </c:pt>
                <c:pt idx="81" formatCode="0.00">
                  <c:v>53.090986286522224</c:v>
                </c:pt>
                <c:pt idx="82" formatCode="0.00">
                  <c:v>53.179623090082352</c:v>
                </c:pt>
                <c:pt idx="83" formatCode="0.00">
                  <c:v>53.195402312137688</c:v>
                </c:pt>
                <c:pt idx="84" formatCode="0.00">
                  <c:v>54.165999217037175</c:v>
                </c:pt>
                <c:pt idx="85" formatCode="0.00">
                  <c:v>55.396817825307878</c:v>
                </c:pt>
                <c:pt idx="86" formatCode="0.00">
                  <c:v>55.965794866799662</c:v>
                </c:pt>
                <c:pt idx="87" formatCode="0.00">
                  <c:v>56.273855183683942</c:v>
                </c:pt>
                <c:pt idx="88" formatCode="0.00">
                  <c:v>56.566274941499032</c:v>
                </c:pt>
                <c:pt idx="89" formatCode="0.00">
                  <c:v>56.851121158068331</c:v>
                </c:pt>
                <c:pt idx="90" formatCode="0.00">
                  <c:v>56.993671764231429</c:v>
                </c:pt>
                <c:pt idx="91" formatCode="0.00">
                  <c:v>57.124956259723568</c:v>
                </c:pt>
                <c:pt idx="92" formatCode="0.00">
                  <c:v>57.232014065825027</c:v>
                </c:pt>
                <c:pt idx="93" formatCode="0.00">
                  <c:v>57.350025914730764</c:v>
                </c:pt>
                <c:pt idx="94" formatCode="0.00">
                  <c:v>57.304732241673356</c:v>
                </c:pt>
                <c:pt idx="95" formatCode="0.00">
                  <c:v>57.41817178469649</c:v>
                </c:pt>
                <c:pt idx="96" formatCode="0.00">
                  <c:v>57.215432568311897</c:v>
                </c:pt>
                <c:pt idx="97" formatCode="0.00">
                  <c:v>57.128598776327919</c:v>
                </c:pt>
                <c:pt idx="98" formatCode="0.00">
                  <c:v>57.016515330686303</c:v>
                </c:pt>
                <c:pt idx="99" formatCode="0.00">
                  <c:v>56.934756989768175</c:v>
                </c:pt>
                <c:pt idx="100" formatCode="0.00">
                  <c:v>56.935287809331506</c:v>
                </c:pt>
                <c:pt idx="101" formatCode="0.00">
                  <c:v>56.99847262031178</c:v>
                </c:pt>
                <c:pt idx="102" formatCode="0.00">
                  <c:v>57.087061476171051</c:v>
                </c:pt>
                <c:pt idx="103" formatCode="0.00">
                  <c:v>57.085824431894842</c:v>
                </c:pt>
                <c:pt idx="104" formatCode="0.00">
                  <c:v>57.031555737139051</c:v>
                </c:pt>
                <c:pt idx="105" formatCode="0.00">
                  <c:v>56.689345870471641</c:v>
                </c:pt>
                <c:pt idx="106" formatCode="0.00">
                  <c:v>56.608391149825444</c:v>
                </c:pt>
                <c:pt idx="107" formatCode="0.00">
                  <c:v>56.697524944442208</c:v>
                </c:pt>
                <c:pt idx="108" formatCode="0.00">
                  <c:v>56.714320461306144</c:v>
                </c:pt>
                <c:pt idx="109" formatCode="0.00">
                  <c:v>56.782637348050507</c:v>
                </c:pt>
                <c:pt idx="110" formatCode="0.00">
                  <c:v>56.780424032010437</c:v>
                </c:pt>
                <c:pt idx="111" formatCode="0.00">
                  <c:v>56.813160751410372</c:v>
                </c:pt>
                <c:pt idx="112" formatCode="0.00">
                  <c:v>56.82305502898852</c:v>
                </c:pt>
                <c:pt idx="113" formatCode="0.00">
                  <c:v>56.873578357003183</c:v>
                </c:pt>
                <c:pt idx="114" formatCode="0.00">
                  <c:v>56.87405717028124</c:v>
                </c:pt>
                <c:pt idx="115" formatCode="0.00">
                  <c:v>56.715580109482865</c:v>
                </c:pt>
                <c:pt idx="116" formatCode="0.00">
                  <c:v>56.753484155922784</c:v>
                </c:pt>
                <c:pt idx="117" formatCode="0.00">
                  <c:v>56.633334109094505</c:v>
                </c:pt>
                <c:pt idx="118" formatCode="0.00">
                  <c:v>56.585303109629322</c:v>
                </c:pt>
                <c:pt idx="119" formatCode="0.00">
                  <c:v>56.528525306403324</c:v>
                </c:pt>
                <c:pt idx="120" formatCode="0.00">
                  <c:v>56.496593408050884</c:v>
                </c:pt>
                <c:pt idx="121" formatCode="0.00">
                  <c:v>56.390948637546089</c:v>
                </c:pt>
                <c:pt idx="122" formatCode="0.00">
                  <c:v>56.248197402381628</c:v>
                </c:pt>
                <c:pt idx="123" formatCode="0.00">
                  <c:v>56.335518773155727</c:v>
                </c:pt>
                <c:pt idx="124" formatCode="0.00">
                  <c:v>57.505602137990167</c:v>
                </c:pt>
                <c:pt idx="125" formatCode="0.00">
                  <c:v>58.607411552834535</c:v>
                </c:pt>
                <c:pt idx="126" formatCode="0.00">
                  <c:v>61.200403978398541</c:v>
                </c:pt>
                <c:pt idx="127" formatCode="0.00">
                  <c:v>62.894328252030711</c:v>
                </c:pt>
                <c:pt idx="128" formatCode="0.00">
                  <c:v>64.143922180739125</c:v>
                </c:pt>
                <c:pt idx="129" formatCode="0.00">
                  <c:v>64.900350380228133</c:v>
                </c:pt>
                <c:pt idx="130" formatCode="0.00">
                  <c:v>65.292780276813545</c:v>
                </c:pt>
                <c:pt idx="131" formatCode="0.00">
                  <c:v>65.629045321667263</c:v>
                </c:pt>
                <c:pt idx="132" formatCode="0.00">
                  <c:v>65.984157592493133</c:v>
                </c:pt>
                <c:pt idx="133" formatCode="0.00">
                  <c:v>66.525304570777266</c:v>
                </c:pt>
                <c:pt idx="134" formatCode="0.00">
                  <c:v>67.015876379185059</c:v>
                </c:pt>
                <c:pt idx="135" formatCode="0.00">
                  <c:v>67.541107790564908</c:v>
                </c:pt>
                <c:pt idx="136" formatCode="0.00">
                  <c:v>67.922446173229531</c:v>
                </c:pt>
                <c:pt idx="137" formatCode="0.00">
                  <c:v>68.490701038466497</c:v>
                </c:pt>
                <c:pt idx="138" formatCode="0.00">
                  <c:v>68.31424830493583</c:v>
                </c:pt>
                <c:pt idx="139" formatCode="0.00">
                  <c:v>68.172748748693806</c:v>
                </c:pt>
                <c:pt idx="140" formatCode="0.00">
                  <c:v>67.853611907998001</c:v>
                </c:pt>
                <c:pt idx="141" formatCode="0.00">
                  <c:v>67.359973297000153</c:v>
                </c:pt>
                <c:pt idx="142" formatCode="0.00">
                  <c:v>66.922903811074775</c:v>
                </c:pt>
                <c:pt idx="143" formatCode="0.00">
                  <c:v>66.935685571047273</c:v>
                </c:pt>
                <c:pt idx="144" formatCode="0.00">
                  <c:v>66.966340333348512</c:v>
                </c:pt>
                <c:pt idx="145" formatCode="0.00">
                  <c:v>67.004668633073365</c:v>
                </c:pt>
                <c:pt idx="146" formatCode="0.00">
                  <c:v>66.491312673211297</c:v>
                </c:pt>
                <c:pt idx="147" formatCode="0.00">
                  <c:v>66.080415172784924</c:v>
                </c:pt>
                <c:pt idx="148" formatCode="0.00">
                  <c:v>65.641119152421453</c:v>
                </c:pt>
                <c:pt idx="149" formatCode="0.00">
                  <c:v>65.413250689775055</c:v>
                </c:pt>
                <c:pt idx="150" formatCode="0.00">
                  <c:v>65.367593068274303</c:v>
                </c:pt>
                <c:pt idx="151" formatCode="0.00">
                  <c:v>65.331398608871169</c:v>
                </c:pt>
                <c:pt idx="152" formatCode="0.00">
                  <c:v>65.275226623793486</c:v>
                </c:pt>
                <c:pt idx="153" formatCode="0.00">
                  <c:v>65.04397630923286</c:v>
                </c:pt>
                <c:pt idx="154" formatCode="0.00">
                  <c:v>64.673532727523352</c:v>
                </c:pt>
                <c:pt idx="155" formatCode="0.00">
                  <c:v>64.070259652324552</c:v>
                </c:pt>
                <c:pt idx="156" formatCode="0.00">
                  <c:v>62.988740536729559</c:v>
                </c:pt>
                <c:pt idx="157" formatCode="0.00">
                  <c:v>61.335707009027786</c:v>
                </c:pt>
                <c:pt idx="158" formatCode="0.00">
                  <c:v>61.013401221979152</c:v>
                </c:pt>
                <c:pt idx="159" formatCode="0.00">
                  <c:v>61.800618427239591</c:v>
                </c:pt>
                <c:pt idx="160" formatCode="0.00">
                  <c:v>63.326214546871469</c:v>
                </c:pt>
                <c:pt idx="161" formatCode="0.00">
                  <c:v>64.664204944396047</c:v>
                </c:pt>
                <c:pt idx="162" formatCode="0.00">
                  <c:v>65.524728524334719</c:v>
                </c:pt>
                <c:pt idx="163" formatCode="0.00">
                  <c:v>66.30655327635418</c:v>
                </c:pt>
                <c:pt idx="164" formatCode="0.00">
                  <c:v>66.854657126203307</c:v>
                </c:pt>
                <c:pt idx="165" formatCode="0.00">
                  <c:v>67.329548350097085</c:v>
                </c:pt>
                <c:pt idx="166" formatCode="0.00">
                  <c:v>67.780283198345572</c:v>
                </c:pt>
                <c:pt idx="167" formatCode="0.00">
                  <c:v>67.821309225422894</c:v>
                </c:pt>
                <c:pt idx="168" formatCode="0.00">
                  <c:v>67.812130507539209</c:v>
                </c:pt>
                <c:pt idx="169" formatCode="0.00">
                  <c:v>67.761956289306113</c:v>
                </c:pt>
                <c:pt idx="170" formatCode="0.00">
                  <c:v>67.744911915390261</c:v>
                </c:pt>
                <c:pt idx="171" formatCode="0.00">
                  <c:v>67.719916100764081</c:v>
                </c:pt>
                <c:pt idx="172" formatCode="0.00">
                  <c:v>67.73778749477114</c:v>
                </c:pt>
                <c:pt idx="173" formatCode="0.00">
                  <c:v>67.900844517219127</c:v>
                </c:pt>
                <c:pt idx="174" formatCode="0.00">
                  <c:v>67.890645136651713</c:v>
                </c:pt>
                <c:pt idx="175" formatCode="0.00">
                  <c:v>67.693403055829151</c:v>
                </c:pt>
                <c:pt idx="176" formatCode="0.00">
                  <c:v>67.520405381912212</c:v>
                </c:pt>
                <c:pt idx="177" formatCode="0.00">
                  <c:v>67.266167056881258</c:v>
                </c:pt>
                <c:pt idx="178" formatCode="0.00">
                  <c:v>67.156883563696624</c:v>
                </c:pt>
                <c:pt idx="179" formatCode="0.00">
                  <c:v>67.16522888638687</c:v>
                </c:pt>
                <c:pt idx="180" formatCode="0.00">
                  <c:v>66.972218276684529</c:v>
                </c:pt>
                <c:pt idx="181" formatCode="0.00">
                  <c:v>66.651429144436051</c:v>
                </c:pt>
                <c:pt idx="182" formatCode="0.00">
                  <c:v>66.447811979092961</c:v>
                </c:pt>
                <c:pt idx="183" formatCode="0.00">
                  <c:v>65.985578504325062</c:v>
                </c:pt>
                <c:pt idx="184" formatCode="0.00">
                  <c:v>65.775819589708718</c:v>
                </c:pt>
                <c:pt idx="185" formatCode="0.00">
                  <c:v>65.527599465654717</c:v>
                </c:pt>
                <c:pt idx="186" formatCode="0.00">
                  <c:v>65.357338252400467</c:v>
                </c:pt>
                <c:pt idx="187" formatCode="0.00">
                  <c:v>65.508166003366767</c:v>
                </c:pt>
                <c:pt idx="188" formatCode="0.00">
                  <c:v>67.232077654962566</c:v>
                </c:pt>
                <c:pt idx="189" formatCode="0.00">
                  <c:v>68.187313891303745</c:v>
                </c:pt>
                <c:pt idx="190" formatCode="0.00">
                  <c:v>69.033776662015882</c:v>
                </c:pt>
                <c:pt idx="191" formatCode="0.00">
                  <c:v>69.42062126608991</c:v>
                </c:pt>
                <c:pt idx="192" formatCode="0.00">
                  <c:v>69.770470717777599</c:v>
                </c:pt>
                <c:pt idx="193" formatCode="0.00">
                  <c:v>70.025617787226338</c:v>
                </c:pt>
                <c:pt idx="194" formatCode="0.00">
                  <c:v>70.488422812711207</c:v>
                </c:pt>
                <c:pt idx="195" formatCode="0.00">
                  <c:v>70.652754598731065</c:v>
                </c:pt>
                <c:pt idx="196" formatCode="0.00">
                  <c:v>70.844932910114608</c:v>
                </c:pt>
                <c:pt idx="197" formatCode="0.00">
                  <c:v>71.089621725876171</c:v>
                </c:pt>
                <c:pt idx="198" formatCode="0.00">
                  <c:v>71.323829043534175</c:v>
                </c:pt>
                <c:pt idx="199" formatCode="0.00">
                  <c:v>71.66592559407988</c:v>
                </c:pt>
                <c:pt idx="200" formatCode="0.00">
                  <c:v>71.753107404498337</c:v>
                </c:pt>
                <c:pt idx="201" formatCode="0.00">
                  <c:v>71.791880313880668</c:v>
                </c:pt>
                <c:pt idx="202" formatCode="0.00">
                  <c:v>72.025915350045366</c:v>
                </c:pt>
                <c:pt idx="203" formatCode="0.00">
                  <c:v>72.081131855011819</c:v>
                </c:pt>
                <c:pt idx="204" formatCode="0.00">
                  <c:v>72.203293645854245</c:v>
                </c:pt>
                <c:pt idx="205" formatCode="0.00">
                  <c:v>72.044931883609692</c:v>
                </c:pt>
                <c:pt idx="206" formatCode="0.00">
                  <c:v>71.330172077490133</c:v>
                </c:pt>
                <c:pt idx="207" formatCode="0.00">
                  <c:v>69.757812344343165</c:v>
                </c:pt>
                <c:pt idx="208" formatCode="0.00">
                  <c:v>69.479048414977115</c:v>
                </c:pt>
                <c:pt idx="209" formatCode="0.00">
                  <c:v>69.363610250502958</c:v>
                </c:pt>
                <c:pt idx="210" formatCode="0.00">
                  <c:v>69.10141140490326</c:v>
                </c:pt>
                <c:pt idx="211" formatCode="0.00">
                  <c:v>69.296894207919976</c:v>
                </c:pt>
                <c:pt idx="212" formatCode="0.00">
                  <c:v>69.378214328396439</c:v>
                </c:pt>
                <c:pt idx="213" formatCode="0.00">
                  <c:v>69.380085852949563</c:v>
                </c:pt>
                <c:pt idx="214" formatCode="0.00">
                  <c:v>69.211300562871202</c:v>
                </c:pt>
                <c:pt idx="215" formatCode="0.00">
                  <c:v>69.313343092048299</c:v>
                </c:pt>
                <c:pt idx="216" formatCode="0.00">
                  <c:v>69.43864763422134</c:v>
                </c:pt>
                <c:pt idx="217" formatCode="0.00">
                  <c:v>69.585106077469078</c:v>
                </c:pt>
                <c:pt idx="218" formatCode="0.00">
                  <c:v>69.543404896402564</c:v>
                </c:pt>
                <c:pt idx="219" formatCode="0.00">
                  <c:v>69.373897867109775</c:v>
                </c:pt>
                <c:pt idx="220" formatCode="0.00">
                  <c:v>69.363212811580112</c:v>
                </c:pt>
                <c:pt idx="221" formatCode="0.00">
                  <c:v>69.393296222708059</c:v>
                </c:pt>
                <c:pt idx="222" formatCode="0.00">
                  <c:v>69.684692332251998</c:v>
                </c:pt>
                <c:pt idx="223" formatCode="0.00">
                  <c:v>70.488416616447353</c:v>
                </c:pt>
                <c:pt idx="224" formatCode="0.00">
                  <c:v>71.505613027695276</c:v>
                </c:pt>
                <c:pt idx="225" formatCode="0.00">
                  <c:v>72.302398481480452</c:v>
                </c:pt>
                <c:pt idx="226" formatCode="0.00">
                  <c:v>72.321982633870618</c:v>
                </c:pt>
                <c:pt idx="227" formatCode="0.00">
                  <c:v>72.367348855011329</c:v>
                </c:pt>
                <c:pt idx="228" formatCode="0.00">
                  <c:v>72.351614976594675</c:v>
                </c:pt>
                <c:pt idx="229" formatCode="0.00">
                  <c:v>72.265426279781863</c:v>
                </c:pt>
                <c:pt idx="230" formatCode="0.00">
                  <c:v>72.365244516073844</c:v>
                </c:pt>
                <c:pt idx="231" formatCode="0.00">
                  <c:v>72.761849649945489</c:v>
                </c:pt>
                <c:pt idx="232" formatCode="0.00">
                  <c:v>73.030694258854226</c:v>
                </c:pt>
                <c:pt idx="233" formatCode="0.00">
                  <c:v>73.357840684465685</c:v>
                </c:pt>
                <c:pt idx="234" formatCode="0.00">
                  <c:v>73.565507851527272</c:v>
                </c:pt>
                <c:pt idx="235" formatCode="0.00">
                  <c:v>74.261166509342615</c:v>
                </c:pt>
                <c:pt idx="236" formatCode="0.00">
                  <c:v>74.346219335372751</c:v>
                </c:pt>
                <c:pt idx="237" formatCode="0.00">
                  <c:v>75.739549682315797</c:v>
                </c:pt>
                <c:pt idx="238" formatCode="0.00">
                  <c:v>76.479114708804588</c:v>
                </c:pt>
                <c:pt idx="239" formatCode="0.00">
                  <c:v>77.139738792366757</c:v>
                </c:pt>
                <c:pt idx="240" formatCode="0.00">
                  <c:v>77.912530567253484</c:v>
                </c:pt>
                <c:pt idx="241" formatCode="0.00">
                  <c:v>78.295664655991487</c:v>
                </c:pt>
                <c:pt idx="242" formatCode="0.00">
                  <c:v>78.487772389948972</c:v>
                </c:pt>
                <c:pt idx="243" formatCode="0.00">
                  <c:v>79.446087835216204</c:v>
                </c:pt>
                <c:pt idx="244" formatCode="0.00">
                  <c:v>80.092081895151708</c:v>
                </c:pt>
                <c:pt idx="245" formatCode="0.00">
                  <c:v>80.217660382238805</c:v>
                </c:pt>
                <c:pt idx="246" formatCode="0.00">
                  <c:v>80.109121040304643</c:v>
                </c:pt>
                <c:pt idx="247" formatCode="0.00">
                  <c:v>80.064695425641304</c:v>
                </c:pt>
                <c:pt idx="248" formatCode="0.00">
                  <c:v>79.922584696397024</c:v>
                </c:pt>
                <c:pt idx="249" formatCode="0.00">
                  <c:v>79.580401852718737</c:v>
                </c:pt>
                <c:pt idx="250" formatCode="0.00">
                  <c:v>79.343982308307361</c:v>
                </c:pt>
                <c:pt idx="251" formatCode="0.00">
                  <c:v>80.127993672796052</c:v>
                </c:pt>
                <c:pt idx="252" formatCode="0.00">
                  <c:v>80.236018349942384</c:v>
                </c:pt>
                <c:pt idx="253" formatCode="0.00">
                  <c:v>80.289995783626679</c:v>
                </c:pt>
                <c:pt idx="254" formatCode="0.00">
                  <c:v>80.435077237865244</c:v>
                </c:pt>
                <c:pt idx="255" formatCode="0.00">
                  <c:v>80.514958991596558</c:v>
                </c:pt>
                <c:pt idx="256" formatCode="0.00">
                  <c:v>80.694061896250815</c:v>
                </c:pt>
                <c:pt idx="257" formatCode="0.00">
                  <c:v>80.330064933587437</c:v>
                </c:pt>
                <c:pt idx="258" formatCode="0.00">
                  <c:v>80.068547149517244</c:v>
                </c:pt>
                <c:pt idx="259" formatCode="0.00">
                  <c:v>79.668664681422072</c:v>
                </c:pt>
                <c:pt idx="260" formatCode="0.00">
                  <c:v>79.027012343560685</c:v>
                </c:pt>
                <c:pt idx="261" formatCode="0.00">
                  <c:v>78.629392520182748</c:v>
                </c:pt>
                <c:pt idx="262" formatCode="0.00">
                  <c:v>78.450455685721209</c:v>
                </c:pt>
                <c:pt idx="263" formatCode="0.00">
                  <c:v>77.191853208406911</c:v>
                </c:pt>
                <c:pt idx="264" formatCode="0.00">
                  <c:v>76.130725260037067</c:v>
                </c:pt>
                <c:pt idx="265" formatCode="0.00">
                  <c:v>76.174295348494837</c:v>
                </c:pt>
                <c:pt idx="266" formatCode="0.00">
                  <c:v>76.865927200132973</c:v>
                </c:pt>
                <c:pt idx="267" formatCode="0.00">
                  <c:v>77.506330145966047</c:v>
                </c:pt>
                <c:pt idx="268" formatCode="0.00">
                  <c:v>77.649090988593969</c:v>
                </c:pt>
                <c:pt idx="269" formatCode="0.00">
                  <c:v>77.764427407459308</c:v>
                </c:pt>
                <c:pt idx="270" formatCode="0.00">
                  <c:v>78.915457455983088</c:v>
                </c:pt>
                <c:pt idx="271" formatCode="0.00">
                  <c:v>80.297867968133744</c:v>
                </c:pt>
                <c:pt idx="272" formatCode="0.00">
                  <c:v>81.58820558760236</c:v>
                </c:pt>
                <c:pt idx="273" formatCode="0.00">
                  <c:v>82.899183031746432</c:v>
                </c:pt>
                <c:pt idx="274" formatCode="0.00">
                  <c:v>84.086884263523331</c:v>
                </c:pt>
                <c:pt idx="275" formatCode="0.00">
                  <c:v>85.126230348778478</c:v>
                </c:pt>
                <c:pt idx="276" formatCode="0.00">
                  <c:v>86.375704699487457</c:v>
                </c:pt>
                <c:pt idx="277" formatCode="0.00">
                  <c:v>87.57321877463059</c:v>
                </c:pt>
                <c:pt idx="278" formatCode="0.00">
                  <c:v>88.302211956456972</c:v>
                </c:pt>
                <c:pt idx="279" formatCode="0.00">
                  <c:v>89.497022459604949</c:v>
                </c:pt>
                <c:pt idx="280" formatCode="0.00">
                  <c:v>89.858969805314089</c:v>
                </c:pt>
                <c:pt idx="281" formatCode="0.00">
                  <c:v>89.42523070850163</c:v>
                </c:pt>
                <c:pt idx="282" formatCode="0.00">
                  <c:v>88.836829989191287</c:v>
                </c:pt>
                <c:pt idx="283" formatCode="0.00">
                  <c:v>88.425435239409197</c:v>
                </c:pt>
                <c:pt idx="284" formatCode="0.00">
                  <c:v>88.484281027673276</c:v>
                </c:pt>
                <c:pt idx="285" formatCode="0.00">
                  <c:v>88.405084681528251</c:v>
                </c:pt>
                <c:pt idx="286" formatCode="0.00">
                  <c:v>88.199806746417153</c:v>
                </c:pt>
                <c:pt idx="287" formatCode="0.00">
                  <c:v>88.110303146360252</c:v>
                </c:pt>
                <c:pt idx="288" formatCode="0.00">
                  <c:v>87.663241123801683</c:v>
                </c:pt>
                <c:pt idx="289" formatCode="0.00">
                  <c:v>87.172855076510203</c:v>
                </c:pt>
                <c:pt idx="290" formatCode="0.00">
                  <c:v>87.079451155858251</c:v>
                </c:pt>
                <c:pt idx="291" formatCode="0.00">
                  <c:v>87.070478192629238</c:v>
                </c:pt>
                <c:pt idx="292" formatCode="0.00">
                  <c:v>87.763534342004121</c:v>
                </c:pt>
                <c:pt idx="293" formatCode="0.00">
                  <c:v>88.032549586378849</c:v>
                </c:pt>
                <c:pt idx="294" formatCode="0.00">
                  <c:v>88.459335154451168</c:v>
                </c:pt>
                <c:pt idx="295" formatCode="0.00">
                  <c:v>88.904600737957111</c:v>
                </c:pt>
                <c:pt idx="296" formatCode="0.00">
                  <c:v>89.203758489950772</c:v>
                </c:pt>
                <c:pt idx="297" formatCode="0.00">
                  <c:v>89.215518833313624</c:v>
                </c:pt>
                <c:pt idx="298" formatCode="0.00">
                  <c:v>89.341129851830516</c:v>
                </c:pt>
                <c:pt idx="299" formatCode="0.00">
                  <c:v>88.482781941050661</c:v>
                </c:pt>
                <c:pt idx="300" formatCode="0.00">
                  <c:v>87.892266514784907</c:v>
                </c:pt>
                <c:pt idx="301" formatCode="0.00">
                  <c:v>87.904468609158386</c:v>
                </c:pt>
                <c:pt idx="302" formatCode="0.00">
                  <c:v>87.307347383291201</c:v>
                </c:pt>
                <c:pt idx="303" formatCode="0.00">
                  <c:v>86.695920198591836</c:v>
                </c:pt>
                <c:pt idx="304" formatCode="0.00">
                  <c:v>86.101154910534902</c:v>
                </c:pt>
                <c:pt idx="305" formatCode="0.00">
                  <c:v>85.303727432203942</c:v>
                </c:pt>
                <c:pt idx="306" formatCode="0.00">
                  <c:v>85.222568966397418</c:v>
                </c:pt>
                <c:pt idx="307" formatCode="0.00">
                  <c:v>84.813222846554453</c:v>
                </c:pt>
                <c:pt idx="308" formatCode="0.00">
                  <c:v>84.060683719134431</c:v>
                </c:pt>
                <c:pt idx="309" formatCode="0.00">
                  <c:v>82.799570943902779</c:v>
                </c:pt>
                <c:pt idx="310" formatCode="0.00">
                  <c:v>80.747168668926889</c:v>
                </c:pt>
                <c:pt idx="311" formatCode="0.00">
                  <c:v>78.774175060556388</c:v>
                </c:pt>
                <c:pt idx="312" formatCode="0.00">
                  <c:v>78.108042750837555</c:v>
                </c:pt>
                <c:pt idx="313" formatCode="0.00">
                  <c:v>76.755413848514138</c:v>
                </c:pt>
                <c:pt idx="314" formatCode="0.00">
                  <c:v>75.682731519781441</c:v>
                </c:pt>
                <c:pt idx="315" formatCode="0.00">
                  <c:v>74.639969935259998</c:v>
                </c:pt>
                <c:pt idx="316" formatCode="0.00">
                  <c:v>73.897837906821678</c:v>
                </c:pt>
                <c:pt idx="317" formatCode="0.00">
                  <c:v>73.097388893405565</c:v>
                </c:pt>
                <c:pt idx="318" formatCode="0.00">
                  <c:v>72.405717886729079</c:v>
                </c:pt>
                <c:pt idx="319" formatCode="0.00">
                  <c:v>71.257081024235546</c:v>
                </c:pt>
                <c:pt idx="320" formatCode="0.00">
                  <c:v>69.797435680967268</c:v>
                </c:pt>
                <c:pt idx="321" formatCode="0.00">
                  <c:v>68.893337750193723</c:v>
                </c:pt>
                <c:pt idx="322" formatCode="0.00">
                  <c:v>67.667743193653195</c:v>
                </c:pt>
                <c:pt idx="323" formatCode="0.00">
                  <c:v>68.19207074228521</c:v>
                </c:pt>
                <c:pt idx="324" formatCode="0.00">
                  <c:v>68.493198422405115</c:v>
                </c:pt>
                <c:pt idx="325" formatCode="0.00">
                  <c:v>68.49209641686457</c:v>
                </c:pt>
                <c:pt idx="326" formatCode="0.00">
                  <c:v>68.548895247325788</c:v>
                </c:pt>
                <c:pt idx="327" formatCode="0.00">
                  <c:v>68.602123704981665</c:v>
                </c:pt>
                <c:pt idx="328" formatCode="0.00">
                  <c:v>68.538132559696749</c:v>
                </c:pt>
                <c:pt idx="329" formatCode="0.00">
                  <c:v>68.541261683217201</c:v>
                </c:pt>
                <c:pt idx="330" formatCode="0.00">
                  <c:v>68.422327908488498</c:v>
                </c:pt>
                <c:pt idx="331" formatCode="0.00">
                  <c:v>68.384310145784937</c:v>
                </c:pt>
                <c:pt idx="332" formatCode="0.00">
                  <c:v>68.255305893672585</c:v>
                </c:pt>
                <c:pt idx="333" formatCode="0.00">
                  <c:v>68.2557477098877</c:v>
                </c:pt>
                <c:pt idx="334" formatCode="0.00">
                  <c:v>68.201354851746302</c:v>
                </c:pt>
                <c:pt idx="335" formatCode="0.00">
                  <c:v>68.206085253717418</c:v>
                </c:pt>
                <c:pt idx="336" formatCode="0.00">
                  <c:v>68.166168319755386</c:v>
                </c:pt>
                <c:pt idx="337" formatCode="0.00">
                  <c:v>68.234329277431712</c:v>
                </c:pt>
                <c:pt idx="338" formatCode="0.00">
                  <c:v>68.267954344781558</c:v>
                </c:pt>
                <c:pt idx="339" formatCode="0.00">
                  <c:v>68.298355119301263</c:v>
                </c:pt>
                <c:pt idx="340" formatCode="0.00">
                  <c:v>68.243720424244884</c:v>
                </c:pt>
                <c:pt idx="341" formatCode="0.00">
                  <c:v>68.153094364596953</c:v>
                </c:pt>
                <c:pt idx="342" formatCode="0.00">
                  <c:v>67.627391078626303</c:v>
                </c:pt>
                <c:pt idx="343" formatCode="0.00">
                  <c:v>66.268088456650261</c:v>
                </c:pt>
                <c:pt idx="344" formatCode="0.00">
                  <c:v>65.822340671185799</c:v>
                </c:pt>
                <c:pt idx="345" formatCode="0.00">
                  <c:v>65.952997323338778</c:v>
                </c:pt>
                <c:pt idx="346" formatCode="0.00">
                  <c:v>66.358813957161118</c:v>
                </c:pt>
                <c:pt idx="347" formatCode="0.00">
                  <c:v>66.327110452851514</c:v>
                </c:pt>
                <c:pt idx="348" formatCode="0.00">
                  <c:v>66.409435976022507</c:v>
                </c:pt>
                <c:pt idx="349" formatCode="0.00">
                  <c:v>66.490401026791005</c:v>
                </c:pt>
                <c:pt idx="350" formatCode="0.00">
                  <c:v>66.970779916647444</c:v>
                </c:pt>
                <c:pt idx="351" formatCode="0.00">
                  <c:v>67.919395700198592</c:v>
                </c:pt>
                <c:pt idx="352" formatCode="0.00">
                  <c:v>69.878741826046323</c:v>
                </c:pt>
                <c:pt idx="353" formatCode="0.00">
                  <c:v>71.30163255407146</c:v>
                </c:pt>
                <c:pt idx="354" formatCode="0.00">
                  <c:v>73.00623477585529</c:v>
                </c:pt>
                <c:pt idx="355" formatCode="0.00">
                  <c:v>74.142689655498913</c:v>
                </c:pt>
                <c:pt idx="356" formatCode="0.00">
                  <c:v>75.272147443440431</c:v>
                </c:pt>
                <c:pt idx="357" formatCode="0.00">
                  <c:v>76.133341620374964</c:v>
                </c:pt>
                <c:pt idx="358" formatCode="0.00">
                  <c:v>76.434331801510695</c:v>
                </c:pt>
                <c:pt idx="359" formatCode="0.00">
                  <c:v>76.838652269950927</c:v>
                </c:pt>
                <c:pt idx="360" formatCode="0.00">
                  <c:v>77.027590939921893</c:v>
                </c:pt>
                <c:pt idx="361" formatCode="0.00">
                  <c:v>77.355214525885941</c:v>
                </c:pt>
                <c:pt idx="362" formatCode="0.00">
                  <c:v>77.675111522998932</c:v>
                </c:pt>
                <c:pt idx="363" formatCode="0.00">
                  <c:v>77.956495778527085</c:v>
                </c:pt>
                <c:pt idx="364" formatCode="0.00">
                  <c:v>78.016022139887639</c:v>
                </c:pt>
                <c:pt idx="365" formatCode="0.00">
                  <c:v>78.233585618173805</c:v>
                </c:pt>
                <c:pt idx="366" formatCode="0.00">
                  <c:v>78.368359691863233</c:v>
                </c:pt>
                <c:pt idx="367" formatCode="0.00">
                  <c:v>78.357871124332092</c:v>
                </c:pt>
                <c:pt idx="368" formatCode="0.00">
                  <c:v>78.866542135679097</c:v>
                </c:pt>
                <c:pt idx="369" formatCode="0.00">
                  <c:v>78.403824250605837</c:v>
                </c:pt>
                <c:pt idx="370" formatCode="0.00">
                  <c:v>78.45218489975899</c:v>
                </c:pt>
                <c:pt idx="371" formatCode="0.00">
                  <c:v>79.084384755641054</c:v>
                </c:pt>
                <c:pt idx="372" formatCode="0.00">
                  <c:v>80.657909665524315</c:v>
                </c:pt>
                <c:pt idx="373" formatCode="0.00">
                  <c:v>82.465462812798634</c:v>
                </c:pt>
                <c:pt idx="374" formatCode="0.00">
                  <c:v>83.26862826242369</c:v>
                </c:pt>
                <c:pt idx="375" formatCode="0.00">
                  <c:v>84.241267684313598</c:v>
                </c:pt>
                <c:pt idx="376" formatCode="0.00">
                  <c:v>89.029599880027135</c:v>
                </c:pt>
                <c:pt idx="377" formatCode="0.00">
                  <c:v>93.342206058115025</c:v>
                </c:pt>
                <c:pt idx="378" formatCode="0.00">
                  <c:v>97.563233202604707</c:v>
                </c:pt>
                <c:pt idx="379" formatCode="0.00">
                  <c:v>100.46080396324503</c:v>
                </c:pt>
                <c:pt idx="380" formatCode="0.00">
                  <c:v>102.0451411808385</c:v>
                </c:pt>
                <c:pt idx="381" formatCode="0.00">
                  <c:v>103.54012142418549</c:v>
                </c:pt>
                <c:pt idx="382" formatCode="0.00">
                  <c:v>104.56126505628535</c:v>
                </c:pt>
                <c:pt idx="383" formatCode="0.00">
                  <c:v>105.56226507738859</c:v>
                </c:pt>
                <c:pt idx="384" formatCode="0.00">
                  <c:v>106.35275767297276</c:v>
                </c:pt>
                <c:pt idx="385" formatCode="0.00">
                  <c:v>106.5279907073335</c:v>
                </c:pt>
                <c:pt idx="386" formatCode="0.00">
                  <c:v>106.69914264257555</c:v>
                </c:pt>
                <c:pt idx="387" formatCode="0.00">
                  <c:v>106.49602508212911</c:v>
                </c:pt>
                <c:pt idx="388" formatCode="0.00">
                  <c:v>106.45346855281997</c:v>
                </c:pt>
                <c:pt idx="389" formatCode="0.00">
                  <c:v>105.78689745827661</c:v>
                </c:pt>
                <c:pt idx="390" formatCode="0.00">
                  <c:v>105.10532232169807</c:v>
                </c:pt>
                <c:pt idx="391" formatCode="0.00">
                  <c:v>104.31671203734231</c:v>
                </c:pt>
                <c:pt idx="392" formatCode="0.00">
                  <c:v>103.79145637089421</c:v>
                </c:pt>
                <c:pt idx="393" formatCode="0.00">
                  <c:v>103.62561808237879</c:v>
                </c:pt>
                <c:pt idx="394" formatCode="0.00">
                  <c:v>103.41003707756643</c:v>
                </c:pt>
                <c:pt idx="395" formatCode="0.00">
                  <c:v>103.41176580428842</c:v>
                </c:pt>
                <c:pt idx="396" formatCode="0.00">
                  <c:v>103.48445703437991</c:v>
                </c:pt>
                <c:pt idx="397" formatCode="0.00">
                  <c:v>103.03753200251633</c:v>
                </c:pt>
                <c:pt idx="398" formatCode="0.00">
                  <c:v>101.84159082945004</c:v>
                </c:pt>
                <c:pt idx="399" formatCode="0.00">
                  <c:v>100.76585166180351</c:v>
                </c:pt>
                <c:pt idx="400" formatCode="0.00">
                  <c:v>100.21009316725259</c:v>
                </c:pt>
                <c:pt idx="401" formatCode="0.00">
                  <c:v>99.4632530421014</c:v>
                </c:pt>
                <c:pt idx="402" formatCode="0.00">
                  <c:v>98.956605614235585</c:v>
                </c:pt>
                <c:pt idx="403" formatCode="0.00">
                  <c:v>98.016840513108519</c:v>
                </c:pt>
                <c:pt idx="404" formatCode="0.00">
                  <c:v>97.209288426131423</c:v>
                </c:pt>
                <c:pt idx="405" formatCode="0.00">
                  <c:v>97.468554769929924</c:v>
                </c:pt>
                <c:pt idx="406" formatCode="0.00">
                  <c:v>97.490375206570221</c:v>
                </c:pt>
                <c:pt idx="407" formatCode="0.00">
                  <c:v>97.69948949530216</c:v>
                </c:pt>
                <c:pt idx="408" formatCode="0.00">
                  <c:v>98.151443951300607</c:v>
                </c:pt>
                <c:pt idx="409" formatCode="0.00">
                  <c:v>98.56158720318318</c:v>
                </c:pt>
                <c:pt idx="410" formatCode="0.00">
                  <c:v>98.521628278505929</c:v>
                </c:pt>
                <c:pt idx="411" formatCode="0.00">
                  <c:v>98.436210269742475</c:v>
                </c:pt>
                <c:pt idx="412" formatCode="0.00">
                  <c:v>98.136840358334609</c:v>
                </c:pt>
                <c:pt idx="413" formatCode="0.00">
                  <c:v>98.12410608740214</c:v>
                </c:pt>
                <c:pt idx="414" formatCode="0.00">
                  <c:v>97.890056726264987</c:v>
                </c:pt>
                <c:pt idx="415" formatCode="0.00">
                  <c:v>97.6767332485623</c:v>
                </c:pt>
                <c:pt idx="416" formatCode="0.00">
                  <c:v>97.669694020716946</c:v>
                </c:pt>
                <c:pt idx="417" formatCode="0.00">
                  <c:v>97.696920211679682</c:v>
                </c:pt>
                <c:pt idx="418" formatCode="0.00">
                  <c:v>97.989902738488681</c:v>
                </c:pt>
                <c:pt idx="419" formatCode="0.00">
                  <c:v>98.434932810497529</c:v>
                </c:pt>
                <c:pt idx="420" formatCode="0.00">
                  <c:v>98.664184701067569</c:v>
                </c:pt>
                <c:pt idx="421" formatCode="0.00">
                  <c:v>98.677947210695095</c:v>
                </c:pt>
                <c:pt idx="422" formatCode="0.00">
                  <c:v>98.627458113485986</c:v>
                </c:pt>
                <c:pt idx="423" formatCode="0.00">
                  <c:v>98.588695056426829</c:v>
                </c:pt>
                <c:pt idx="424" formatCode="0.00">
                  <c:v>98.294618099879429</c:v>
                </c:pt>
                <c:pt idx="425" formatCode="0.00">
                  <c:v>97.714620986700965</c:v>
                </c:pt>
                <c:pt idx="426" formatCode="0.00">
                  <c:v>96.690336056797506</c:v>
                </c:pt>
                <c:pt idx="427" formatCode="0.00">
                  <c:v>96.30030219125463</c:v>
                </c:pt>
                <c:pt idx="428" formatCode="0.00">
                  <c:v>96.072757198741002</c:v>
                </c:pt>
                <c:pt idx="429" formatCode="0.00">
                  <c:v>95.594677767875424</c:v>
                </c:pt>
                <c:pt idx="430" formatCode="0.00">
                  <c:v>96.743146146379715</c:v>
                </c:pt>
                <c:pt idx="431" formatCode="0.00">
                  <c:v>97.353061916467482</c:v>
                </c:pt>
                <c:pt idx="432" formatCode="0.00">
                  <c:v>98.185153812024225</c:v>
                </c:pt>
                <c:pt idx="433" formatCode="0.00">
                  <c:v>98.884513289498486</c:v>
                </c:pt>
                <c:pt idx="434" formatCode="0.00">
                  <c:v>99.228525333402729</c:v>
                </c:pt>
                <c:pt idx="435" formatCode="0.00">
                  <c:v>99.47063341669363</c:v>
                </c:pt>
                <c:pt idx="436" formatCode="0.00">
                  <c:v>99.506842242497299</c:v>
                </c:pt>
                <c:pt idx="437" formatCode="0.00">
                  <c:v>99.691027590524342</c:v>
                </c:pt>
                <c:pt idx="438" formatCode="0.00">
                  <c:v>100.48891854005262</c:v>
                </c:pt>
                <c:pt idx="439" formatCode="0.00">
                  <c:v>100.85119284010631</c:v>
                </c:pt>
                <c:pt idx="440" formatCode="0.00">
                  <c:v>100.58638606502774</c:v>
                </c:pt>
                <c:pt idx="441" formatCode="0.00">
                  <c:v>101.45938018105866</c:v>
                </c:pt>
                <c:pt idx="442" formatCode="0.00">
                  <c:v>102.02523724278804</c:v>
                </c:pt>
                <c:pt idx="443" formatCode="0.00">
                  <c:v>102.09213884150984</c:v>
                </c:pt>
                <c:pt idx="444" formatCode="0.00">
                  <c:v>102.12434096226885</c:v>
                </c:pt>
                <c:pt idx="445" formatCode="0.00">
                  <c:v>103.10951336981665</c:v>
                </c:pt>
                <c:pt idx="446" formatCode="0.00">
                  <c:v>103.56333972502978</c:v>
                </c:pt>
                <c:pt idx="447" formatCode="0.00">
                  <c:v>104.22796013197042</c:v>
                </c:pt>
                <c:pt idx="448" formatCode="0.00">
                  <c:v>104.90863687810221</c:v>
                </c:pt>
                <c:pt idx="449" formatCode="0.00">
                  <c:v>105.35234652766697</c:v>
                </c:pt>
                <c:pt idx="450" formatCode="0.00">
                  <c:v>105.96621522513188</c:v>
                </c:pt>
                <c:pt idx="451" formatCode="0.00">
                  <c:v>106.43137580384904</c:v>
                </c:pt>
                <c:pt idx="452" formatCode="0.00">
                  <c:v>106.6491850188021</c:v>
                </c:pt>
                <c:pt idx="453" formatCode="0.00">
                  <c:v>106.74254981535434</c:v>
                </c:pt>
                <c:pt idx="454" formatCode="0.00">
                  <c:v>107.00019651367514</c:v>
                </c:pt>
                <c:pt idx="455" formatCode="0.00">
                  <c:v>107.00322294359385</c:v>
                </c:pt>
                <c:pt idx="456" formatCode="0.00">
                  <c:v>106.23188925984752</c:v>
                </c:pt>
                <c:pt idx="457" formatCode="0.00">
                  <c:v>105.81101186535722</c:v>
                </c:pt>
                <c:pt idx="458" formatCode="0.00">
                  <c:v>107.49061998011211</c:v>
                </c:pt>
                <c:pt idx="459" formatCode="0.00">
                  <c:v>108.44915739183568</c:v>
                </c:pt>
                <c:pt idx="460" formatCode="0.00">
                  <c:v>109.7290887018379</c:v>
                </c:pt>
                <c:pt idx="461" formatCode="0.00">
                  <c:v>110.49075049214342</c:v>
                </c:pt>
                <c:pt idx="462" formatCode="0.00">
                  <c:v>110.94245308764874</c:v>
                </c:pt>
                <c:pt idx="463" formatCode="0.00">
                  <c:v>110.76166039149986</c:v>
                </c:pt>
                <c:pt idx="464" formatCode="0.00">
                  <c:v>110.52989142487468</c:v>
                </c:pt>
                <c:pt idx="465" formatCode="0.00">
                  <c:v>110.76393412348979</c:v>
                </c:pt>
                <c:pt idx="466" formatCode="0.00">
                  <c:v>111.4700188205494</c:v>
                </c:pt>
                <c:pt idx="467" formatCode="0.00">
                  <c:v>112.24908922399455</c:v>
                </c:pt>
                <c:pt idx="468" formatCode="0.00">
                  <c:v>113.28563330447781</c:v>
                </c:pt>
                <c:pt idx="469" formatCode="0.00">
                  <c:v>113.433209619617</c:v>
                </c:pt>
                <c:pt idx="470" formatCode="0.00">
                  <c:v>113.40600021616946</c:v>
                </c:pt>
                <c:pt idx="471" formatCode="0.00">
                  <c:v>113.33278311571119</c:v>
                </c:pt>
                <c:pt idx="472" formatCode="0.00">
                  <c:v>113.0494969577659</c:v>
                </c:pt>
                <c:pt idx="473" formatCode="0.00">
                  <c:v>112.71583137692744</c:v>
                </c:pt>
                <c:pt idx="474" formatCode="0.00">
                  <c:v>112.71157927614303</c:v>
                </c:pt>
                <c:pt idx="475" formatCode="0.00">
                  <c:v>112.60404488199185</c:v>
                </c:pt>
                <c:pt idx="476" formatCode="0.00">
                  <c:v>112.62178369675624</c:v>
                </c:pt>
                <c:pt idx="477" formatCode="0.00">
                  <c:v>113.52126004259965</c:v>
                </c:pt>
                <c:pt idx="478" formatCode="0.00">
                  <c:v>114.80958350258476</c:v>
                </c:pt>
                <c:pt idx="479" formatCode="0.00">
                  <c:v>116.80724801872638</c:v>
                </c:pt>
                <c:pt idx="480" formatCode="0.00">
                  <c:v>118.99450806612155</c:v>
                </c:pt>
                <c:pt idx="481" formatCode="0.00">
                  <c:v>120.2966477121205</c:v>
                </c:pt>
                <c:pt idx="482" formatCode="0.00">
                  <c:v>121.44689161054788</c:v>
                </c:pt>
                <c:pt idx="483" formatCode="0.00">
                  <c:v>123.04868972584417</c:v>
                </c:pt>
                <c:pt idx="484" formatCode="0.00">
                  <c:v>124.22553859917363</c:v>
                </c:pt>
                <c:pt idx="485" formatCode="0.00">
                  <c:v>126.00012331601489</c:v>
                </c:pt>
                <c:pt idx="486" formatCode="0.00">
                  <c:v>129.36969195868588</c:v>
                </c:pt>
                <c:pt idx="487" formatCode="0.00">
                  <c:v>131.46521157898121</c:v>
                </c:pt>
                <c:pt idx="488" formatCode="0.00">
                  <c:v>132.64210099900208</c:v>
                </c:pt>
                <c:pt idx="489" formatCode="0.00">
                  <c:v>134.53082851820358</c:v>
                </c:pt>
                <c:pt idx="490" formatCode="0.00">
                  <c:v>136.08259949476644</c:v>
                </c:pt>
                <c:pt idx="491" formatCode="0.00">
                  <c:v>139.92153592290833</c:v>
                </c:pt>
                <c:pt idx="492" formatCode="0.00">
                  <c:v>141.17761633895805</c:v>
                </c:pt>
                <c:pt idx="493" formatCode="0.00">
                  <c:v>141.91968630541669</c:v>
                </c:pt>
                <c:pt idx="494" formatCode="0.00">
                  <c:v>141.82221237886932</c:v>
                </c:pt>
                <c:pt idx="495" formatCode="0.00">
                  <c:v>142.43572221350743</c:v>
                </c:pt>
                <c:pt idx="496" formatCode="0.00">
                  <c:v>144.12847870920075</c:v>
                </c:pt>
                <c:pt idx="497" formatCode="0.00">
                  <c:v>146.17643398422825</c:v>
                </c:pt>
                <c:pt idx="498" formatCode="0.00">
                  <c:v>147.87950314231057</c:v>
                </c:pt>
                <c:pt idx="499" formatCode="0.00">
                  <c:v>150.05101828048998</c:v>
                </c:pt>
                <c:pt idx="500" formatCode="0.00">
                  <c:v>152.12918845981727</c:v>
                </c:pt>
                <c:pt idx="501" formatCode="0.00">
                  <c:v>152.19892353569111</c:v>
                </c:pt>
                <c:pt idx="502" formatCode="0.00">
                  <c:v>151.73896737901262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7BF-4528-A7E1-3298751391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68635760"/>
        <c:axId val="868628080"/>
      </c:lineChart>
      <c:dateAx>
        <c:axId val="868635760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8628080"/>
        <c:crosses val="autoZero"/>
        <c:auto val="1"/>
        <c:lblOffset val="100"/>
        <c:baseTimeUnit val="days"/>
      </c:dateAx>
      <c:valAx>
        <c:axId val="868628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_);[Red]\(&quot;$&quot;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86357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368300</xdr:colOff>
      <xdr:row>4</xdr:row>
      <xdr:rowOff>38100</xdr:rowOff>
    </xdr:from>
    <xdr:to>
      <xdr:col>19</xdr:col>
      <xdr:colOff>444500</xdr:colOff>
      <xdr:row>31</xdr:row>
      <xdr:rowOff>44450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410FF4A-3ADB-3514-04A8-CDC15F90AC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E9E860-D43F-4A34-8BB7-4BA1A0A4A9FA}">
  <dimension ref="A1:F504"/>
  <sheetViews>
    <sheetView workbookViewId="0">
      <selection activeCell="E7" sqref="E7"/>
    </sheetView>
  </sheetViews>
  <sheetFormatPr defaultRowHeight="14.5" x14ac:dyDescent="0.35"/>
  <cols>
    <col min="1" max="1" width="10.08984375" bestFit="1" customWidth="1"/>
    <col min="2" max="2" width="9.54296875" bestFit="1" customWidth="1"/>
    <col min="3" max="3" width="8.81640625" bestFit="1" customWidth="1"/>
    <col min="4" max="6" width="8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s="1">
        <v>45688</v>
      </c>
      <c r="B2" s="2">
        <v>54.91</v>
      </c>
      <c r="C2">
        <v>2033970</v>
      </c>
      <c r="D2" s="2">
        <v>56.19</v>
      </c>
      <c r="E2" s="2">
        <v>56.47</v>
      </c>
      <c r="F2" s="2">
        <v>54.662500000000001</v>
      </c>
    </row>
    <row r="3" spans="1:6" x14ac:dyDescent="0.35">
      <c r="A3" s="1">
        <v>45687</v>
      </c>
      <c r="B3" s="2">
        <v>56.06</v>
      </c>
      <c r="C3">
        <v>1968881</v>
      </c>
      <c r="D3" s="2">
        <v>55.51</v>
      </c>
      <c r="E3" s="2">
        <v>56.36</v>
      </c>
      <c r="F3" s="2">
        <v>55.384999999999998</v>
      </c>
    </row>
    <row r="4" spans="1:6" x14ac:dyDescent="0.35">
      <c r="A4" s="1">
        <v>45686</v>
      </c>
      <c r="B4" s="2">
        <v>55.05</v>
      </c>
      <c r="C4">
        <v>1756060</v>
      </c>
      <c r="D4" s="2">
        <v>55.34</v>
      </c>
      <c r="E4" s="2">
        <v>55.77</v>
      </c>
      <c r="F4" s="2">
        <v>54.05</v>
      </c>
    </row>
    <row r="5" spans="1:6" x14ac:dyDescent="0.35">
      <c r="A5" s="1">
        <v>45685</v>
      </c>
      <c r="B5" s="2">
        <v>55.79</v>
      </c>
      <c r="C5">
        <v>3474121</v>
      </c>
      <c r="D5" s="2">
        <v>53.63</v>
      </c>
      <c r="E5" s="2">
        <v>56.75</v>
      </c>
      <c r="F5" s="2">
        <v>53.63</v>
      </c>
    </row>
    <row r="6" spans="1:6" x14ac:dyDescent="0.35">
      <c r="A6" s="1">
        <v>45684</v>
      </c>
      <c r="B6" s="2">
        <v>53.45</v>
      </c>
      <c r="C6">
        <v>4158536</v>
      </c>
      <c r="D6" s="2">
        <v>52.23</v>
      </c>
      <c r="E6" s="2">
        <v>55.15</v>
      </c>
      <c r="F6" s="2">
        <v>52.03</v>
      </c>
    </row>
    <row r="7" spans="1:6" x14ac:dyDescent="0.35">
      <c r="A7" s="1">
        <v>45681</v>
      </c>
      <c r="B7" s="2">
        <v>52.23</v>
      </c>
      <c r="C7">
        <v>2454437</v>
      </c>
      <c r="D7" s="2">
        <v>53.1</v>
      </c>
      <c r="E7" s="2">
        <v>53.5</v>
      </c>
      <c r="F7" s="2">
        <v>51.76</v>
      </c>
    </row>
    <row r="8" spans="1:6" x14ac:dyDescent="0.35">
      <c r="A8" s="1">
        <v>45680</v>
      </c>
      <c r="B8" s="2">
        <v>53.09</v>
      </c>
      <c r="C8">
        <v>3222678</v>
      </c>
      <c r="D8" s="2">
        <v>52.14</v>
      </c>
      <c r="E8" s="2">
        <v>54.64</v>
      </c>
      <c r="F8" s="2">
        <v>52.094999999999999</v>
      </c>
    </row>
    <row r="9" spans="1:6" x14ac:dyDescent="0.35">
      <c r="A9" s="1">
        <v>45679</v>
      </c>
      <c r="B9" s="2">
        <v>52.25</v>
      </c>
      <c r="C9">
        <v>1980877</v>
      </c>
      <c r="D9" s="2">
        <v>51.72</v>
      </c>
      <c r="E9" s="2">
        <v>52.79</v>
      </c>
      <c r="F9" s="2">
        <v>51.72</v>
      </c>
    </row>
    <row r="10" spans="1:6" x14ac:dyDescent="0.35">
      <c r="A10" s="1">
        <v>45678</v>
      </c>
      <c r="B10" s="2">
        <v>52.05</v>
      </c>
      <c r="C10">
        <v>3815863</v>
      </c>
      <c r="D10" s="2">
        <v>53.76</v>
      </c>
      <c r="E10" s="2">
        <v>53.933399999999999</v>
      </c>
      <c r="F10" s="2">
        <v>51.06</v>
      </c>
    </row>
    <row r="11" spans="1:6" x14ac:dyDescent="0.35">
      <c r="A11" s="1">
        <v>45674</v>
      </c>
      <c r="B11" s="2">
        <v>53.12</v>
      </c>
      <c r="C11">
        <v>2851901</v>
      </c>
      <c r="D11" s="2">
        <v>53.31</v>
      </c>
      <c r="E11" s="2">
        <v>53.44</v>
      </c>
      <c r="F11" s="2">
        <v>52.204999999999998</v>
      </c>
    </row>
    <row r="12" spans="1:6" x14ac:dyDescent="0.35">
      <c r="A12" s="1">
        <v>45673</v>
      </c>
      <c r="B12" s="2">
        <v>52.72</v>
      </c>
      <c r="C12">
        <v>2240695</v>
      </c>
      <c r="D12" s="2">
        <v>53.06</v>
      </c>
      <c r="E12" s="2">
        <v>53.4</v>
      </c>
      <c r="F12" s="2">
        <v>51.64</v>
      </c>
    </row>
    <row r="13" spans="1:6" x14ac:dyDescent="0.35">
      <c r="A13" s="1">
        <v>45672</v>
      </c>
      <c r="B13" s="2">
        <v>53.27</v>
      </c>
      <c r="C13">
        <v>2369678</v>
      </c>
      <c r="D13" s="2">
        <v>54.91</v>
      </c>
      <c r="E13" s="2">
        <v>54.996899999999997</v>
      </c>
      <c r="F13" s="2">
        <v>53.16</v>
      </c>
    </row>
    <row r="14" spans="1:6" x14ac:dyDescent="0.35">
      <c r="A14" s="1">
        <v>45671</v>
      </c>
      <c r="B14" s="2">
        <v>53.41</v>
      </c>
      <c r="C14">
        <v>2251243</v>
      </c>
      <c r="D14" s="2">
        <v>53.6</v>
      </c>
      <c r="E14" s="2">
        <v>53.6</v>
      </c>
      <c r="F14" s="2">
        <v>52.12</v>
      </c>
    </row>
    <row r="15" spans="1:6" x14ac:dyDescent="0.35">
      <c r="A15" s="1">
        <v>45670</v>
      </c>
      <c r="B15" s="2">
        <v>53.45</v>
      </c>
      <c r="C15">
        <v>2442027</v>
      </c>
      <c r="D15" s="2">
        <v>52.62</v>
      </c>
      <c r="E15" s="2">
        <v>53.76</v>
      </c>
      <c r="F15" s="2">
        <v>51.88</v>
      </c>
    </row>
    <row r="16" spans="1:6" x14ac:dyDescent="0.35">
      <c r="A16" s="1">
        <v>45667</v>
      </c>
      <c r="B16" s="2">
        <v>52.57</v>
      </c>
      <c r="C16">
        <v>2946475</v>
      </c>
      <c r="D16" s="2">
        <v>52.32</v>
      </c>
      <c r="E16" s="2">
        <v>53.4</v>
      </c>
      <c r="F16" s="2">
        <v>51.79</v>
      </c>
    </row>
    <row r="17" spans="1:6" x14ac:dyDescent="0.35">
      <c r="A17" s="1">
        <v>45665</v>
      </c>
      <c r="B17" s="2">
        <v>53.42</v>
      </c>
      <c r="C17">
        <v>3254756</v>
      </c>
      <c r="D17" s="2">
        <v>53.81</v>
      </c>
      <c r="E17" s="2">
        <v>54.14</v>
      </c>
      <c r="F17" s="2">
        <v>52</v>
      </c>
    </row>
    <row r="18" spans="1:6" x14ac:dyDescent="0.35">
      <c r="A18" s="1">
        <v>45664</v>
      </c>
      <c r="B18" s="2">
        <v>53.98</v>
      </c>
      <c r="C18">
        <v>3510917</v>
      </c>
      <c r="D18" s="2">
        <v>56.645000000000003</v>
      </c>
      <c r="E18" s="2">
        <v>56.645000000000003</v>
      </c>
      <c r="F18" s="2">
        <v>53.18</v>
      </c>
    </row>
    <row r="19" spans="1:6" x14ac:dyDescent="0.35">
      <c r="A19" s="1">
        <v>45663</v>
      </c>
      <c r="B19" s="2">
        <v>56.61</v>
      </c>
      <c r="C19">
        <v>3975883</v>
      </c>
      <c r="D19" s="2">
        <v>54.78</v>
      </c>
      <c r="E19" s="2">
        <v>57.31</v>
      </c>
      <c r="F19" s="2">
        <v>54.51</v>
      </c>
    </row>
    <row r="20" spans="1:6" x14ac:dyDescent="0.35">
      <c r="A20" s="1">
        <v>45660</v>
      </c>
      <c r="B20" s="2">
        <v>53.9</v>
      </c>
      <c r="C20">
        <v>2280804</v>
      </c>
      <c r="D20" s="2">
        <v>53.25</v>
      </c>
      <c r="E20" s="2">
        <v>54.02</v>
      </c>
      <c r="F20" s="2">
        <v>52.258600000000001</v>
      </c>
    </row>
    <row r="21" spans="1:6" x14ac:dyDescent="0.35">
      <c r="A21" s="1">
        <v>45659</v>
      </c>
      <c r="B21" s="2">
        <v>53.11</v>
      </c>
      <c r="C21">
        <v>3081748</v>
      </c>
      <c r="D21" s="2">
        <v>53.66</v>
      </c>
      <c r="E21" s="2">
        <v>54.65</v>
      </c>
      <c r="F21" s="2">
        <v>52.96</v>
      </c>
    </row>
    <row r="22" spans="1:6" x14ac:dyDescent="0.35">
      <c r="A22" s="1">
        <v>45657</v>
      </c>
      <c r="B22" s="2">
        <v>52.89</v>
      </c>
      <c r="C22">
        <v>3910283</v>
      </c>
      <c r="D22" s="2">
        <v>54.19</v>
      </c>
      <c r="E22" s="2">
        <v>55.38</v>
      </c>
      <c r="F22" s="2">
        <v>52.82</v>
      </c>
    </row>
    <row r="23" spans="1:6" x14ac:dyDescent="0.35">
      <c r="A23" s="1">
        <v>45656</v>
      </c>
      <c r="B23" s="2">
        <v>53.83</v>
      </c>
      <c r="C23">
        <v>3109730</v>
      </c>
      <c r="D23" s="2">
        <v>52.3</v>
      </c>
      <c r="E23" s="2">
        <v>53.99</v>
      </c>
      <c r="F23" s="2">
        <v>51.6</v>
      </c>
    </row>
    <row r="24" spans="1:6" x14ac:dyDescent="0.35">
      <c r="A24" s="1">
        <v>45653</v>
      </c>
      <c r="B24" s="2">
        <v>52.71</v>
      </c>
      <c r="C24">
        <v>2575995</v>
      </c>
      <c r="D24" s="2">
        <v>53.43</v>
      </c>
      <c r="E24" s="2">
        <v>53.91</v>
      </c>
      <c r="F24" s="2">
        <v>52.354999999999997</v>
      </c>
    </row>
    <row r="25" spans="1:6" x14ac:dyDescent="0.35">
      <c r="A25" s="1">
        <v>45652</v>
      </c>
      <c r="B25" s="2">
        <v>53.84</v>
      </c>
      <c r="C25">
        <v>2706574</v>
      </c>
      <c r="D25" s="2">
        <v>54.64</v>
      </c>
      <c r="E25" s="2">
        <v>55.16</v>
      </c>
      <c r="F25" s="2">
        <v>53.781399999999998</v>
      </c>
    </row>
    <row r="26" spans="1:6" x14ac:dyDescent="0.35">
      <c r="A26" s="1">
        <v>45650</v>
      </c>
      <c r="B26" s="2">
        <v>55.13</v>
      </c>
      <c r="C26">
        <v>1318281</v>
      </c>
      <c r="D26" s="2">
        <v>55.28</v>
      </c>
      <c r="E26" s="2">
        <v>55.42</v>
      </c>
      <c r="F26" s="2">
        <v>54.65</v>
      </c>
    </row>
    <row r="27" spans="1:6" x14ac:dyDescent="0.35">
      <c r="A27" s="1">
        <v>45649</v>
      </c>
      <c r="B27" s="2">
        <v>55.44</v>
      </c>
      <c r="C27">
        <v>2976912</v>
      </c>
      <c r="D27" s="2">
        <v>56.97</v>
      </c>
      <c r="E27" s="2">
        <v>57.66</v>
      </c>
      <c r="F27" s="2">
        <v>55.1</v>
      </c>
    </row>
    <row r="28" spans="1:6" x14ac:dyDescent="0.35">
      <c r="A28" s="1">
        <v>45646</v>
      </c>
      <c r="B28" s="2">
        <v>56.81</v>
      </c>
      <c r="C28">
        <v>12521540</v>
      </c>
      <c r="D28" s="2">
        <v>56.53</v>
      </c>
      <c r="E28" s="2">
        <v>57.56</v>
      </c>
      <c r="F28" s="2">
        <v>55.31</v>
      </c>
    </row>
    <row r="29" spans="1:6" x14ac:dyDescent="0.35">
      <c r="A29" s="1">
        <v>45645</v>
      </c>
      <c r="B29" s="2">
        <v>57.14</v>
      </c>
      <c r="C29">
        <v>5125646</v>
      </c>
      <c r="D29" s="2">
        <v>57.21</v>
      </c>
      <c r="E29" s="2">
        <v>58.16</v>
      </c>
      <c r="F29" s="2">
        <v>55.685000000000002</v>
      </c>
    </row>
    <row r="30" spans="1:6" x14ac:dyDescent="0.35">
      <c r="A30" s="1">
        <v>45644</v>
      </c>
      <c r="B30" s="2">
        <v>56.64</v>
      </c>
      <c r="C30">
        <v>6214808</v>
      </c>
      <c r="D30" s="2">
        <v>60.91</v>
      </c>
      <c r="E30" s="2">
        <v>61.26</v>
      </c>
      <c r="F30" s="2">
        <v>56.11</v>
      </c>
    </row>
    <row r="31" spans="1:6" x14ac:dyDescent="0.35">
      <c r="A31" s="1">
        <v>45643</v>
      </c>
      <c r="B31" s="2">
        <v>60.97</v>
      </c>
      <c r="C31">
        <v>4419247</v>
      </c>
      <c r="D31" s="2">
        <v>61.61</v>
      </c>
      <c r="E31" s="2">
        <v>62.54</v>
      </c>
      <c r="F31" s="2">
        <v>60.505000000000003</v>
      </c>
    </row>
    <row r="32" spans="1:6" x14ac:dyDescent="0.35">
      <c r="A32" s="1">
        <v>45642</v>
      </c>
      <c r="B32" s="2">
        <v>61.61</v>
      </c>
      <c r="C32">
        <v>7660606</v>
      </c>
      <c r="D32" s="2">
        <v>58.16</v>
      </c>
      <c r="E32" s="2">
        <v>63.06</v>
      </c>
      <c r="F32" s="2">
        <v>58.16</v>
      </c>
    </row>
    <row r="33" spans="1:6" x14ac:dyDescent="0.35">
      <c r="A33" s="1">
        <v>45639</v>
      </c>
      <c r="B33" s="2">
        <v>58.98</v>
      </c>
      <c r="C33">
        <v>2822994</v>
      </c>
      <c r="D33" s="2">
        <v>58.6</v>
      </c>
      <c r="E33" s="2">
        <v>59.3</v>
      </c>
      <c r="F33" s="2">
        <v>57.96</v>
      </c>
    </row>
    <row r="34" spans="1:6" x14ac:dyDescent="0.35">
      <c r="A34" s="1">
        <v>45638</v>
      </c>
      <c r="B34" s="2">
        <v>58.58</v>
      </c>
      <c r="C34">
        <v>2154422</v>
      </c>
      <c r="D34" s="2">
        <v>58.89</v>
      </c>
      <c r="E34" s="2">
        <v>59.524999999999999</v>
      </c>
      <c r="F34" s="2">
        <v>58.15</v>
      </c>
    </row>
    <row r="35" spans="1:6" x14ac:dyDescent="0.35">
      <c r="A35" s="1">
        <v>45637</v>
      </c>
      <c r="B35" s="2">
        <v>58.99</v>
      </c>
      <c r="C35">
        <v>3222679</v>
      </c>
      <c r="D35" s="2">
        <v>58.76</v>
      </c>
      <c r="E35" s="2">
        <v>60.01</v>
      </c>
      <c r="F35" s="2">
        <v>58.51</v>
      </c>
    </row>
    <row r="36" spans="1:6" x14ac:dyDescent="0.35">
      <c r="A36" s="1">
        <v>45636</v>
      </c>
      <c r="B36" s="2">
        <v>58.76</v>
      </c>
      <c r="C36">
        <v>2565251</v>
      </c>
      <c r="D36" s="2">
        <v>58.52</v>
      </c>
      <c r="E36" s="2">
        <v>58.99</v>
      </c>
      <c r="F36" s="2">
        <v>57.53</v>
      </c>
    </row>
    <row r="37" spans="1:6" x14ac:dyDescent="0.35">
      <c r="A37" s="1">
        <v>45635</v>
      </c>
      <c r="B37" s="2">
        <v>58.75</v>
      </c>
      <c r="C37">
        <v>3374204</v>
      </c>
      <c r="D37" s="2">
        <v>57.66</v>
      </c>
      <c r="E37" s="2">
        <v>60.44</v>
      </c>
      <c r="F37" s="2">
        <v>57.44</v>
      </c>
    </row>
    <row r="38" spans="1:6" x14ac:dyDescent="0.35">
      <c r="A38" s="1">
        <v>45632</v>
      </c>
      <c r="B38" s="2">
        <v>57.3</v>
      </c>
      <c r="C38">
        <v>2618766</v>
      </c>
      <c r="D38" s="2">
        <v>57.76</v>
      </c>
      <c r="E38" s="2">
        <v>58.664999999999999</v>
      </c>
      <c r="F38" s="2">
        <v>57.14</v>
      </c>
    </row>
    <row r="39" spans="1:6" x14ac:dyDescent="0.35">
      <c r="A39" s="1">
        <v>45631</v>
      </c>
      <c r="B39" s="2">
        <v>57.21</v>
      </c>
      <c r="C39">
        <v>3304810</v>
      </c>
      <c r="D39" s="2">
        <v>59.5</v>
      </c>
      <c r="E39" s="2">
        <v>60.64</v>
      </c>
      <c r="F39" s="2">
        <v>57.110100000000003</v>
      </c>
    </row>
    <row r="40" spans="1:6" x14ac:dyDescent="0.35">
      <c r="A40" s="1">
        <v>45630</v>
      </c>
      <c r="B40" s="2">
        <v>59.06</v>
      </c>
      <c r="C40">
        <v>4357508</v>
      </c>
      <c r="D40" s="2">
        <v>57.74</v>
      </c>
      <c r="E40" s="2">
        <v>59.99</v>
      </c>
      <c r="F40" s="2">
        <v>57.52</v>
      </c>
    </row>
    <row r="41" spans="1:6" x14ac:dyDescent="0.35">
      <c r="A41" s="1">
        <v>45629</v>
      </c>
      <c r="B41" s="2">
        <v>57.23</v>
      </c>
      <c r="C41">
        <v>4191784</v>
      </c>
      <c r="D41" s="2">
        <v>55.07</v>
      </c>
      <c r="E41" s="2">
        <v>57.83</v>
      </c>
      <c r="F41" s="2">
        <v>55.07</v>
      </c>
    </row>
    <row r="42" spans="1:6" x14ac:dyDescent="0.35">
      <c r="A42" s="1">
        <v>45628</v>
      </c>
      <c r="B42" s="2">
        <v>55.46</v>
      </c>
      <c r="C42">
        <v>2894911</v>
      </c>
      <c r="D42" s="2">
        <v>54.52</v>
      </c>
      <c r="E42" s="2">
        <v>55.49</v>
      </c>
      <c r="F42" s="2">
        <v>53.8001</v>
      </c>
    </row>
    <row r="43" spans="1:6" x14ac:dyDescent="0.35">
      <c r="A43" s="1">
        <v>45625</v>
      </c>
      <c r="B43" s="2">
        <v>54.86</v>
      </c>
      <c r="C43">
        <v>1406590</v>
      </c>
      <c r="D43" s="2">
        <v>54.24</v>
      </c>
      <c r="E43" s="2">
        <v>55.57</v>
      </c>
      <c r="F43" s="2">
        <v>54.24</v>
      </c>
    </row>
    <row r="44" spans="1:6" x14ac:dyDescent="0.35">
      <c r="A44" s="1">
        <v>45623</v>
      </c>
      <c r="B44" s="2">
        <v>54.31</v>
      </c>
      <c r="C44">
        <v>2488583</v>
      </c>
      <c r="D44" s="2">
        <v>54.85</v>
      </c>
      <c r="E44" s="2">
        <v>55.97</v>
      </c>
      <c r="F44" s="2">
        <v>54.24</v>
      </c>
    </row>
    <row r="45" spans="1:6" x14ac:dyDescent="0.35">
      <c r="A45" s="1">
        <v>45622</v>
      </c>
      <c r="B45" s="2">
        <v>54.78</v>
      </c>
      <c r="C45">
        <v>4570752</v>
      </c>
      <c r="D45" s="2">
        <v>54.8</v>
      </c>
      <c r="E45" s="2">
        <v>55.316200000000002</v>
      </c>
      <c r="F45" s="2">
        <v>54.06</v>
      </c>
    </row>
    <row r="46" spans="1:6" x14ac:dyDescent="0.35">
      <c r="A46" s="1">
        <v>45621</v>
      </c>
      <c r="B46" s="2">
        <v>55.68</v>
      </c>
      <c r="C46">
        <v>7691589</v>
      </c>
      <c r="D46" s="2">
        <v>53</v>
      </c>
      <c r="E46" s="2">
        <v>56.73</v>
      </c>
      <c r="F46" s="2">
        <v>52.87</v>
      </c>
    </row>
    <row r="47" spans="1:6" x14ac:dyDescent="0.35">
      <c r="A47" s="1">
        <v>45618</v>
      </c>
      <c r="B47" s="2">
        <v>52.3</v>
      </c>
      <c r="C47">
        <v>2379676</v>
      </c>
      <c r="D47" s="2">
        <v>52.4</v>
      </c>
      <c r="E47" s="2">
        <v>52.89</v>
      </c>
      <c r="F47" s="2">
        <v>51.61</v>
      </c>
    </row>
    <row r="48" spans="1:6" x14ac:dyDescent="0.35">
      <c r="A48" s="1">
        <v>45617</v>
      </c>
      <c r="B48" s="2">
        <v>51.99</v>
      </c>
      <c r="C48">
        <v>2337731</v>
      </c>
      <c r="D48" s="2">
        <v>51.19</v>
      </c>
      <c r="E48" s="2">
        <v>52.19</v>
      </c>
      <c r="F48" s="2">
        <v>50.62</v>
      </c>
    </row>
    <row r="49" spans="1:6" x14ac:dyDescent="0.35">
      <c r="A49" s="1">
        <v>45616</v>
      </c>
      <c r="B49" s="2">
        <v>50.86</v>
      </c>
      <c r="C49">
        <v>2234015</v>
      </c>
      <c r="D49" s="2">
        <v>50.6</v>
      </c>
      <c r="E49" s="2">
        <v>51.8</v>
      </c>
      <c r="F49" s="2">
        <v>50.061900000000001</v>
      </c>
    </row>
    <row r="50" spans="1:6" x14ac:dyDescent="0.35">
      <c r="A50" s="1">
        <v>45615</v>
      </c>
      <c r="B50" s="2">
        <v>50.41</v>
      </c>
      <c r="C50">
        <v>3345077</v>
      </c>
      <c r="D50" s="2">
        <v>49.54</v>
      </c>
      <c r="E50" s="2">
        <v>50.58</v>
      </c>
      <c r="F50" s="2">
        <v>48.75</v>
      </c>
    </row>
    <row r="51" spans="1:6" x14ac:dyDescent="0.35">
      <c r="A51" s="1">
        <v>45614</v>
      </c>
      <c r="B51" s="2">
        <v>50.56</v>
      </c>
      <c r="C51">
        <v>3087279</v>
      </c>
      <c r="D51" s="2">
        <v>49.81</v>
      </c>
      <c r="E51" s="2">
        <v>51.09</v>
      </c>
      <c r="F51" s="2">
        <v>49.67</v>
      </c>
    </row>
    <row r="52" spans="1:6" x14ac:dyDescent="0.35">
      <c r="A52" s="1">
        <v>45611</v>
      </c>
      <c r="B52" s="2">
        <v>49.63</v>
      </c>
      <c r="C52">
        <v>3217620</v>
      </c>
      <c r="D52" s="2">
        <v>50.92</v>
      </c>
      <c r="E52" s="2">
        <v>51.33</v>
      </c>
      <c r="F52" s="2">
        <v>49.195</v>
      </c>
    </row>
    <row r="53" spans="1:6" x14ac:dyDescent="0.35">
      <c r="A53" s="1">
        <v>45610</v>
      </c>
      <c r="B53" s="2">
        <v>51.04</v>
      </c>
      <c r="C53">
        <v>3260000</v>
      </c>
      <c r="D53" s="2">
        <v>53.228999999999999</v>
      </c>
      <c r="E53" s="2">
        <v>53.505000000000003</v>
      </c>
      <c r="F53" s="2">
        <v>50.63</v>
      </c>
    </row>
    <row r="54" spans="1:6" x14ac:dyDescent="0.35">
      <c r="A54" s="1">
        <v>45609</v>
      </c>
      <c r="B54" s="2">
        <v>53.43</v>
      </c>
      <c r="C54">
        <v>3993936</v>
      </c>
      <c r="D54" s="2">
        <v>54.14</v>
      </c>
      <c r="E54" s="2">
        <v>55.677500000000002</v>
      </c>
      <c r="F54" s="2">
        <v>52.91</v>
      </c>
    </row>
    <row r="55" spans="1:6" x14ac:dyDescent="0.35">
      <c r="A55" s="1">
        <v>45608</v>
      </c>
      <c r="B55" s="2">
        <v>54</v>
      </c>
      <c r="C55">
        <v>3693579</v>
      </c>
      <c r="D55" s="2">
        <v>53.91</v>
      </c>
      <c r="E55" s="2">
        <v>55.63</v>
      </c>
      <c r="F55" s="2">
        <v>53.43</v>
      </c>
    </row>
    <row r="56" spans="1:6" x14ac:dyDescent="0.35">
      <c r="A56" s="1">
        <v>45607</v>
      </c>
      <c r="B56" s="2">
        <v>54</v>
      </c>
      <c r="C56">
        <v>4760539</v>
      </c>
      <c r="D56" s="2">
        <v>54</v>
      </c>
      <c r="E56" s="2">
        <v>55.29</v>
      </c>
      <c r="F56" s="2">
        <v>53.43</v>
      </c>
    </row>
    <row r="57" spans="1:6" x14ac:dyDescent="0.35">
      <c r="A57" s="1">
        <v>45604</v>
      </c>
      <c r="B57" s="2">
        <v>53.31</v>
      </c>
      <c r="C57">
        <v>3613021</v>
      </c>
      <c r="D57" s="2">
        <v>53.41</v>
      </c>
      <c r="E57" s="2">
        <v>54.24</v>
      </c>
      <c r="F57" s="2">
        <v>52.71</v>
      </c>
    </row>
    <row r="58" spans="1:6" x14ac:dyDescent="0.35">
      <c r="A58" s="1">
        <v>45603</v>
      </c>
      <c r="B58" s="2">
        <v>53.41</v>
      </c>
      <c r="C58">
        <v>2913283</v>
      </c>
      <c r="D58" s="2">
        <v>52.87</v>
      </c>
      <c r="E58" s="2">
        <v>53.81</v>
      </c>
      <c r="F58" s="2">
        <v>52.744999999999997</v>
      </c>
    </row>
    <row r="59" spans="1:6" x14ac:dyDescent="0.35">
      <c r="A59" s="1">
        <v>45602</v>
      </c>
      <c r="B59" s="2">
        <v>53.08</v>
      </c>
      <c r="C59">
        <v>4346947</v>
      </c>
      <c r="D59" s="2">
        <v>54</v>
      </c>
      <c r="E59" s="2">
        <v>54.53</v>
      </c>
      <c r="F59" s="2">
        <v>52.45</v>
      </c>
    </row>
    <row r="60" spans="1:6" x14ac:dyDescent="0.35">
      <c r="A60" s="1">
        <v>45601</v>
      </c>
      <c r="B60" s="2">
        <v>52.73</v>
      </c>
      <c r="C60">
        <v>3322579</v>
      </c>
      <c r="D60" s="2">
        <v>51.6</v>
      </c>
      <c r="E60" s="2">
        <v>53.08</v>
      </c>
      <c r="F60" s="2">
        <v>50.74</v>
      </c>
    </row>
    <row r="61" spans="1:6" x14ac:dyDescent="0.35">
      <c r="A61" s="1">
        <v>45600</v>
      </c>
      <c r="B61" s="2">
        <v>52.27</v>
      </c>
      <c r="C61">
        <v>3473571</v>
      </c>
      <c r="D61" s="2">
        <v>52.57</v>
      </c>
      <c r="E61" s="2">
        <v>53.13</v>
      </c>
      <c r="F61" s="2">
        <v>51.17</v>
      </c>
    </row>
    <row r="62" spans="1:6" x14ac:dyDescent="0.35">
      <c r="A62" s="1">
        <v>45597</v>
      </c>
      <c r="B62" s="2">
        <v>52.77</v>
      </c>
      <c r="C62">
        <v>5217180</v>
      </c>
      <c r="D62" s="2">
        <v>50.98</v>
      </c>
      <c r="E62" s="2">
        <v>53.34</v>
      </c>
      <c r="F62" s="2">
        <v>50.34</v>
      </c>
    </row>
    <row r="63" spans="1:6" x14ac:dyDescent="0.35">
      <c r="A63" s="1">
        <v>45596</v>
      </c>
      <c r="B63" s="2">
        <v>51.44</v>
      </c>
      <c r="C63">
        <v>10314640</v>
      </c>
      <c r="D63" s="2">
        <v>52.46</v>
      </c>
      <c r="E63" s="2">
        <v>55.48</v>
      </c>
      <c r="F63" s="2">
        <v>50.85</v>
      </c>
    </row>
    <row r="64" spans="1:6" x14ac:dyDescent="0.35">
      <c r="A64" s="1">
        <v>45595</v>
      </c>
      <c r="B64" s="2">
        <v>47.99</v>
      </c>
      <c r="C64">
        <v>5818472</v>
      </c>
      <c r="D64" s="2">
        <v>47.25</v>
      </c>
      <c r="E64" s="2">
        <v>48.7</v>
      </c>
      <c r="F64" s="2">
        <v>47.1</v>
      </c>
    </row>
    <row r="65" spans="1:6" x14ac:dyDescent="0.35">
      <c r="A65" s="1">
        <v>45594</v>
      </c>
      <c r="B65" s="2">
        <v>47.48</v>
      </c>
      <c r="C65">
        <v>4859072</v>
      </c>
      <c r="D65" s="2">
        <v>48.72</v>
      </c>
      <c r="E65" s="2">
        <v>48.75</v>
      </c>
      <c r="F65" s="2">
        <v>47.43</v>
      </c>
    </row>
    <row r="66" spans="1:6" x14ac:dyDescent="0.35">
      <c r="A66" s="1">
        <v>45593</v>
      </c>
      <c r="B66" s="2">
        <v>48.77</v>
      </c>
      <c r="C66">
        <v>2913483</v>
      </c>
      <c r="D66" s="2">
        <v>49.31</v>
      </c>
      <c r="E66" s="2">
        <v>50.06</v>
      </c>
      <c r="F66" s="2">
        <v>48.72</v>
      </c>
    </row>
    <row r="67" spans="1:6" x14ac:dyDescent="0.35">
      <c r="A67" s="1">
        <v>45590</v>
      </c>
      <c r="B67" s="2">
        <v>48.64</v>
      </c>
      <c r="C67">
        <v>2491826</v>
      </c>
      <c r="D67" s="2">
        <v>49.17</v>
      </c>
      <c r="E67" s="2">
        <v>49.38</v>
      </c>
      <c r="F67" s="2">
        <v>48.545000000000002</v>
      </c>
    </row>
    <row r="68" spans="1:6" x14ac:dyDescent="0.35">
      <c r="A68" s="1">
        <v>45589</v>
      </c>
      <c r="B68" s="2">
        <v>48.63</v>
      </c>
      <c r="C68">
        <v>3114074</v>
      </c>
      <c r="D68" s="2">
        <v>49.58</v>
      </c>
      <c r="E68" s="2">
        <v>50.46</v>
      </c>
      <c r="F68" s="2">
        <v>48.6</v>
      </c>
    </row>
    <row r="69" spans="1:6" x14ac:dyDescent="0.35">
      <c r="A69" s="1">
        <v>45588</v>
      </c>
      <c r="B69" s="2">
        <v>49.64</v>
      </c>
      <c r="C69">
        <v>2450918</v>
      </c>
      <c r="D69" s="2">
        <v>49.63</v>
      </c>
      <c r="E69" s="2">
        <v>50.46</v>
      </c>
      <c r="F69" s="2">
        <v>49.17</v>
      </c>
    </row>
    <row r="70" spans="1:6" x14ac:dyDescent="0.35">
      <c r="A70" s="1">
        <v>45587</v>
      </c>
      <c r="B70" s="2">
        <v>49.33</v>
      </c>
      <c r="C70">
        <v>3139270</v>
      </c>
      <c r="D70" s="2">
        <v>51.28</v>
      </c>
      <c r="E70" s="2">
        <v>51.55</v>
      </c>
      <c r="F70" s="2">
        <v>49.27</v>
      </c>
    </row>
    <row r="71" spans="1:6" x14ac:dyDescent="0.35">
      <c r="A71" s="1">
        <v>45586</v>
      </c>
      <c r="B71" s="2">
        <v>51.77</v>
      </c>
      <c r="C71">
        <v>2220694</v>
      </c>
      <c r="D71" s="2">
        <v>51.59</v>
      </c>
      <c r="E71" s="2">
        <v>53.1999</v>
      </c>
      <c r="F71" s="2">
        <v>51.38</v>
      </c>
    </row>
    <row r="72" spans="1:6" x14ac:dyDescent="0.35">
      <c r="A72" s="1">
        <v>45583</v>
      </c>
      <c r="B72" s="2">
        <v>51.56</v>
      </c>
      <c r="C72">
        <v>2063420</v>
      </c>
      <c r="D72" s="2">
        <v>50.92</v>
      </c>
      <c r="E72" s="2">
        <v>51.58</v>
      </c>
      <c r="F72" s="2">
        <v>50.59</v>
      </c>
    </row>
    <row r="73" spans="1:6" x14ac:dyDescent="0.35">
      <c r="A73" s="1">
        <v>45582</v>
      </c>
      <c r="B73" s="2">
        <v>50.75</v>
      </c>
      <c r="C73">
        <v>3718134</v>
      </c>
      <c r="D73" s="2">
        <v>52.37</v>
      </c>
      <c r="E73" s="2">
        <v>52.437800000000003</v>
      </c>
      <c r="F73" s="2">
        <v>50.31</v>
      </c>
    </row>
    <row r="74" spans="1:6" x14ac:dyDescent="0.35">
      <c r="A74" s="1">
        <v>45581</v>
      </c>
      <c r="B74" s="2">
        <v>52.53</v>
      </c>
      <c r="C74">
        <v>3270926</v>
      </c>
      <c r="D74" s="2">
        <v>51.53</v>
      </c>
      <c r="E74" s="2">
        <v>53.24</v>
      </c>
      <c r="F74" s="2">
        <v>51.53</v>
      </c>
    </row>
    <row r="75" spans="1:6" x14ac:dyDescent="0.35">
      <c r="A75" s="1">
        <v>45580</v>
      </c>
      <c r="B75" s="2">
        <v>51.31</v>
      </c>
      <c r="C75">
        <v>5286160</v>
      </c>
      <c r="D75" s="2">
        <v>48.62</v>
      </c>
      <c r="E75" s="2">
        <v>51.83</v>
      </c>
      <c r="F75" s="2">
        <v>48.5291</v>
      </c>
    </row>
    <row r="76" spans="1:6" x14ac:dyDescent="0.35">
      <c r="A76" s="1">
        <v>45579</v>
      </c>
      <c r="B76" s="2">
        <v>49.61</v>
      </c>
      <c r="C76">
        <v>3026580</v>
      </c>
      <c r="D76" s="2">
        <v>49.6</v>
      </c>
      <c r="E76" s="2">
        <v>49.66</v>
      </c>
      <c r="F76" s="2">
        <v>48.0687</v>
      </c>
    </row>
    <row r="77" spans="1:6" x14ac:dyDescent="0.35">
      <c r="A77" s="1">
        <v>45576</v>
      </c>
      <c r="B77" s="2">
        <v>49.69</v>
      </c>
      <c r="C77">
        <v>2606051</v>
      </c>
      <c r="D77" s="2">
        <v>49.49</v>
      </c>
      <c r="E77" s="2">
        <v>50.484999999999999</v>
      </c>
      <c r="F77" s="2">
        <v>49.49</v>
      </c>
    </row>
    <row r="78" spans="1:6" x14ac:dyDescent="0.35">
      <c r="A78" s="1">
        <v>45575</v>
      </c>
      <c r="B78" s="2">
        <v>49.65</v>
      </c>
      <c r="C78">
        <v>2669195</v>
      </c>
      <c r="D78" s="2">
        <v>50.29</v>
      </c>
      <c r="E78" s="2">
        <v>50.63</v>
      </c>
      <c r="F78" s="2">
        <v>49.564999999999998</v>
      </c>
    </row>
    <row r="79" spans="1:6" x14ac:dyDescent="0.35">
      <c r="A79" s="1">
        <v>45574</v>
      </c>
      <c r="B79" s="2">
        <v>50.76</v>
      </c>
      <c r="C79">
        <v>2278580</v>
      </c>
      <c r="D79" s="2">
        <v>50.83</v>
      </c>
      <c r="E79" s="2">
        <v>51.62</v>
      </c>
      <c r="F79" s="2">
        <v>50.34</v>
      </c>
    </row>
    <row r="80" spans="1:6" x14ac:dyDescent="0.35">
      <c r="A80" s="1">
        <v>45573</v>
      </c>
      <c r="B80" s="2">
        <v>50.83</v>
      </c>
      <c r="C80">
        <v>3042446</v>
      </c>
      <c r="D80" s="2">
        <v>51.06</v>
      </c>
      <c r="E80" s="2">
        <v>51.25</v>
      </c>
      <c r="F80" s="2">
        <v>50.34</v>
      </c>
    </row>
    <row r="81" spans="1:6" x14ac:dyDescent="0.35">
      <c r="A81" s="1">
        <v>45572</v>
      </c>
      <c r="B81" s="2">
        <v>51.19</v>
      </c>
      <c r="C81">
        <v>3114080</v>
      </c>
      <c r="D81" s="2">
        <v>52.8</v>
      </c>
      <c r="E81" s="2">
        <v>52.854999999999997</v>
      </c>
      <c r="F81" s="2">
        <v>51.07</v>
      </c>
    </row>
    <row r="82" spans="1:6" x14ac:dyDescent="0.35">
      <c r="A82" s="1">
        <v>45569</v>
      </c>
      <c r="B82" s="2">
        <v>52.8</v>
      </c>
      <c r="C82">
        <v>2668582</v>
      </c>
      <c r="D82" s="2">
        <v>51.85</v>
      </c>
      <c r="E82" s="2">
        <v>52.99</v>
      </c>
      <c r="F82" s="2">
        <v>51.8</v>
      </c>
    </row>
    <row r="83" spans="1:6" x14ac:dyDescent="0.35">
      <c r="A83" s="1">
        <v>45568</v>
      </c>
      <c r="B83" s="2">
        <v>51.1</v>
      </c>
      <c r="C83">
        <v>2622118</v>
      </c>
      <c r="D83" s="2">
        <v>51</v>
      </c>
      <c r="E83" s="2">
        <v>51.77</v>
      </c>
      <c r="F83" s="2">
        <v>50.545000000000002</v>
      </c>
    </row>
    <row r="84" spans="1:6" x14ac:dyDescent="0.35">
      <c r="A84" s="1">
        <v>45567</v>
      </c>
      <c r="B84" s="2">
        <v>51.84</v>
      </c>
      <c r="C84">
        <v>2474995</v>
      </c>
      <c r="D84" s="2">
        <v>52.43</v>
      </c>
      <c r="E84" s="2">
        <v>52.64</v>
      </c>
      <c r="F84" s="2">
        <v>51.66</v>
      </c>
    </row>
    <row r="85" spans="1:6" x14ac:dyDescent="0.35">
      <c r="A85" s="1">
        <v>45566</v>
      </c>
      <c r="B85" s="2">
        <v>52.3</v>
      </c>
      <c r="C85">
        <v>4196654</v>
      </c>
      <c r="D85" s="2">
        <v>55.1</v>
      </c>
      <c r="E85" s="2">
        <v>55.239899999999999</v>
      </c>
      <c r="F85" s="2">
        <v>52.19</v>
      </c>
    </row>
    <row r="86" spans="1:6" x14ac:dyDescent="0.35">
      <c r="A86" s="1">
        <v>45565</v>
      </c>
      <c r="B86" s="2">
        <v>55.53</v>
      </c>
      <c r="C86">
        <v>3079064</v>
      </c>
      <c r="D86" s="2">
        <v>56.76</v>
      </c>
      <c r="E86" s="2">
        <v>57.204999999999998</v>
      </c>
      <c r="F86" s="2">
        <v>55.11</v>
      </c>
    </row>
    <row r="87" spans="1:6" x14ac:dyDescent="0.35">
      <c r="A87" s="1">
        <v>45562</v>
      </c>
      <c r="B87" s="2">
        <v>57.14</v>
      </c>
      <c r="C87">
        <v>5159206</v>
      </c>
      <c r="D87" s="2">
        <v>56.42</v>
      </c>
      <c r="E87" s="2">
        <v>57.968000000000004</v>
      </c>
      <c r="F87" s="2">
        <v>56.2</v>
      </c>
    </row>
    <row r="88" spans="1:6" x14ac:dyDescent="0.35">
      <c r="A88" s="1">
        <v>45561</v>
      </c>
      <c r="B88" s="2">
        <v>55.75</v>
      </c>
      <c r="C88">
        <v>3976923</v>
      </c>
      <c r="D88" s="2">
        <v>55.3</v>
      </c>
      <c r="E88" s="2">
        <v>55.78</v>
      </c>
      <c r="F88" s="2">
        <v>54.59</v>
      </c>
    </row>
    <row r="89" spans="1:6" x14ac:dyDescent="0.35">
      <c r="A89" s="1">
        <v>45560</v>
      </c>
      <c r="B89" s="2">
        <v>54.62</v>
      </c>
      <c r="C89">
        <v>3300672</v>
      </c>
      <c r="D89" s="2">
        <v>54.41</v>
      </c>
      <c r="E89" s="2">
        <v>55.4</v>
      </c>
      <c r="F89" s="2">
        <v>54.134999999999998</v>
      </c>
    </row>
    <row r="90" spans="1:6" x14ac:dyDescent="0.35">
      <c r="A90" s="1">
        <v>45559</v>
      </c>
      <c r="B90" s="2">
        <v>55.02</v>
      </c>
      <c r="C90">
        <v>2760028</v>
      </c>
      <c r="D90" s="2">
        <v>55.69</v>
      </c>
      <c r="E90" s="2">
        <v>56.1355</v>
      </c>
      <c r="F90" s="2">
        <v>54.75</v>
      </c>
    </row>
    <row r="91" spans="1:6" x14ac:dyDescent="0.35">
      <c r="A91" s="1">
        <v>45558</v>
      </c>
      <c r="B91" s="2">
        <v>54.83</v>
      </c>
      <c r="C91">
        <v>4473718</v>
      </c>
      <c r="D91" s="2">
        <v>53.99</v>
      </c>
      <c r="E91" s="2">
        <v>54.89</v>
      </c>
      <c r="F91" s="2">
        <v>53.075000000000003</v>
      </c>
    </row>
    <row r="92" spans="1:6" x14ac:dyDescent="0.35">
      <c r="A92" s="1">
        <v>45555</v>
      </c>
      <c r="B92" s="2">
        <v>53.91</v>
      </c>
      <c r="C92">
        <v>37801200</v>
      </c>
      <c r="D92" s="2">
        <v>53.69</v>
      </c>
      <c r="E92" s="2">
        <v>53.978000000000002</v>
      </c>
      <c r="F92" s="2">
        <v>52.61</v>
      </c>
    </row>
    <row r="93" spans="1:6" x14ac:dyDescent="0.35">
      <c r="A93" s="1">
        <v>45554</v>
      </c>
      <c r="B93" s="2">
        <v>54.07</v>
      </c>
      <c r="C93">
        <v>3485535</v>
      </c>
      <c r="D93" s="2">
        <v>55</v>
      </c>
      <c r="E93" s="2">
        <v>55.41</v>
      </c>
      <c r="F93" s="2">
        <v>53.77</v>
      </c>
    </row>
    <row r="94" spans="1:6" x14ac:dyDescent="0.35">
      <c r="A94" s="1">
        <v>45553</v>
      </c>
      <c r="B94" s="2">
        <v>54</v>
      </c>
      <c r="C94">
        <v>3209574</v>
      </c>
      <c r="D94" s="2">
        <v>53.85</v>
      </c>
      <c r="E94" s="2">
        <v>55.15</v>
      </c>
      <c r="F94" s="2">
        <v>53.38</v>
      </c>
    </row>
    <row r="95" spans="1:6" x14ac:dyDescent="0.35">
      <c r="A95" s="1">
        <v>45552</v>
      </c>
      <c r="B95" s="2">
        <v>54.09</v>
      </c>
      <c r="C95">
        <v>3227652</v>
      </c>
      <c r="D95" s="2">
        <v>54.3</v>
      </c>
      <c r="E95" s="2">
        <v>54.74</v>
      </c>
      <c r="F95" s="2">
        <v>53.78</v>
      </c>
    </row>
    <row r="96" spans="1:6" x14ac:dyDescent="0.35">
      <c r="A96" s="1">
        <v>45551</v>
      </c>
      <c r="B96" s="2">
        <v>53.88</v>
      </c>
      <c r="C96">
        <v>4499159</v>
      </c>
      <c r="D96" s="2">
        <v>55.52</v>
      </c>
      <c r="E96" s="2">
        <v>55.97</v>
      </c>
      <c r="F96" s="2">
        <v>52.83</v>
      </c>
    </row>
    <row r="97" spans="1:6" x14ac:dyDescent="0.35">
      <c r="A97" s="1">
        <v>45548</v>
      </c>
      <c r="B97" s="2">
        <v>55.65</v>
      </c>
      <c r="C97">
        <v>6203700</v>
      </c>
      <c r="D97" s="2">
        <v>54.28</v>
      </c>
      <c r="E97" s="2">
        <v>56.7</v>
      </c>
      <c r="F97" s="2">
        <v>53.78</v>
      </c>
    </row>
    <row r="98" spans="1:6" x14ac:dyDescent="0.35">
      <c r="A98" s="1">
        <v>45547</v>
      </c>
      <c r="B98" s="2">
        <v>51.74</v>
      </c>
      <c r="C98">
        <v>3034613</v>
      </c>
      <c r="D98" s="2">
        <v>52</v>
      </c>
      <c r="E98" s="2">
        <v>52.4</v>
      </c>
      <c r="F98" s="2">
        <v>50.7</v>
      </c>
    </row>
    <row r="99" spans="1:6" x14ac:dyDescent="0.35">
      <c r="A99" s="1">
        <v>45546</v>
      </c>
      <c r="B99" s="2">
        <v>51.92</v>
      </c>
      <c r="C99">
        <v>3635525</v>
      </c>
      <c r="D99" s="2">
        <v>52.26</v>
      </c>
      <c r="E99" s="2">
        <v>52.3</v>
      </c>
      <c r="F99" s="2">
        <v>50.63</v>
      </c>
    </row>
    <row r="100" spans="1:6" x14ac:dyDescent="0.35">
      <c r="A100" s="1">
        <v>45545</v>
      </c>
      <c r="B100" s="2">
        <v>52.58</v>
      </c>
      <c r="C100">
        <v>3544206</v>
      </c>
      <c r="D100" s="2">
        <v>52.35</v>
      </c>
      <c r="E100" s="2">
        <v>52.81</v>
      </c>
      <c r="F100" s="2">
        <v>51.67</v>
      </c>
    </row>
    <row r="101" spans="1:6" x14ac:dyDescent="0.35">
      <c r="A101" s="1">
        <v>45544</v>
      </c>
      <c r="B101" s="2">
        <v>52.35</v>
      </c>
      <c r="C101">
        <v>4832682</v>
      </c>
      <c r="D101" s="2">
        <v>53.24</v>
      </c>
      <c r="E101" s="2">
        <v>54.79</v>
      </c>
      <c r="F101" s="2">
        <v>52.3</v>
      </c>
    </row>
    <row r="102" spans="1:6" x14ac:dyDescent="0.35">
      <c r="A102" s="1">
        <v>45541</v>
      </c>
      <c r="B102" s="2">
        <v>53.19</v>
      </c>
      <c r="C102">
        <v>3489801</v>
      </c>
      <c r="D102" s="2">
        <v>55.99</v>
      </c>
      <c r="E102" s="2">
        <v>56.142400000000002</v>
      </c>
      <c r="F102" s="2">
        <v>53.12</v>
      </c>
    </row>
    <row r="103" spans="1:6" x14ac:dyDescent="0.35">
      <c r="A103" s="1">
        <v>45540</v>
      </c>
      <c r="B103" s="2">
        <v>55.57</v>
      </c>
      <c r="C103">
        <v>3068627</v>
      </c>
      <c r="D103" s="2">
        <v>55.63</v>
      </c>
      <c r="E103" s="2">
        <v>55.774999999999999</v>
      </c>
      <c r="F103" s="2">
        <v>53.68</v>
      </c>
    </row>
    <row r="104" spans="1:6" x14ac:dyDescent="0.35">
      <c r="A104" s="1">
        <v>45539</v>
      </c>
      <c r="B104" s="2">
        <v>55.57</v>
      </c>
      <c r="C104">
        <v>3374666</v>
      </c>
      <c r="D104" s="2">
        <v>54.24</v>
      </c>
      <c r="E104" s="2">
        <v>56.69</v>
      </c>
      <c r="F104" s="2">
        <v>54.21</v>
      </c>
    </row>
    <row r="105" spans="1:6" x14ac:dyDescent="0.35">
      <c r="A105" s="1">
        <v>45538</v>
      </c>
      <c r="B105" s="2">
        <v>54.76</v>
      </c>
      <c r="C105">
        <v>3955872</v>
      </c>
      <c r="D105" s="2">
        <v>55.07</v>
      </c>
      <c r="E105" s="2">
        <v>56.34</v>
      </c>
      <c r="F105" s="2">
        <v>54.55</v>
      </c>
    </row>
    <row r="106" spans="1:6" x14ac:dyDescent="0.35">
      <c r="A106" s="1">
        <v>45534</v>
      </c>
      <c r="B106" s="2">
        <v>55.09</v>
      </c>
      <c r="C106">
        <v>9732842</v>
      </c>
      <c r="D106" s="2">
        <v>55.95</v>
      </c>
      <c r="E106" s="2">
        <v>56.01</v>
      </c>
      <c r="F106" s="2">
        <v>54.2</v>
      </c>
    </row>
    <row r="107" spans="1:6" x14ac:dyDescent="0.35">
      <c r="A107" s="1">
        <v>45533</v>
      </c>
      <c r="B107" s="2">
        <v>55.5</v>
      </c>
      <c r="C107">
        <v>1858159</v>
      </c>
      <c r="D107" s="2">
        <v>55.76</v>
      </c>
      <c r="E107" s="2">
        <v>56.34</v>
      </c>
      <c r="F107" s="2">
        <v>55.27</v>
      </c>
    </row>
    <row r="108" spans="1:6" x14ac:dyDescent="0.35">
      <c r="A108" s="1">
        <v>45532</v>
      </c>
      <c r="B108" s="2">
        <v>55.23</v>
      </c>
      <c r="C108">
        <v>2582857</v>
      </c>
      <c r="D108" s="2">
        <v>55.39</v>
      </c>
      <c r="E108" s="2">
        <v>55.93</v>
      </c>
      <c r="F108" s="2">
        <v>54.81</v>
      </c>
    </row>
    <row r="109" spans="1:6" x14ac:dyDescent="0.35">
      <c r="A109" s="1">
        <v>45531</v>
      </c>
      <c r="B109" s="2">
        <v>55.39</v>
      </c>
      <c r="C109">
        <v>2336368</v>
      </c>
      <c r="D109" s="2">
        <v>55.34</v>
      </c>
      <c r="E109" s="2">
        <v>55.52</v>
      </c>
      <c r="F109" s="2">
        <v>54.08</v>
      </c>
    </row>
    <row r="110" spans="1:6" x14ac:dyDescent="0.35">
      <c r="A110" s="1">
        <v>45530</v>
      </c>
      <c r="B110" s="2">
        <v>55.16</v>
      </c>
      <c r="C110">
        <v>2431587</v>
      </c>
      <c r="D110" s="2">
        <v>55.3</v>
      </c>
      <c r="E110" s="2">
        <v>56.08</v>
      </c>
      <c r="F110" s="2">
        <v>54.604999999999997</v>
      </c>
    </row>
    <row r="111" spans="1:6" x14ac:dyDescent="0.35">
      <c r="A111" s="1">
        <v>45527</v>
      </c>
      <c r="B111" s="2">
        <v>55.4</v>
      </c>
      <c r="C111">
        <v>2455673</v>
      </c>
      <c r="D111" s="2">
        <v>53.82</v>
      </c>
      <c r="E111" s="2">
        <v>55.59</v>
      </c>
      <c r="F111" s="2">
        <v>53.79</v>
      </c>
    </row>
    <row r="112" spans="1:6" x14ac:dyDescent="0.35">
      <c r="A112" s="1">
        <v>45526</v>
      </c>
      <c r="B112" s="2">
        <v>53.79</v>
      </c>
      <c r="C112">
        <v>2449460</v>
      </c>
      <c r="D112" s="2">
        <v>54.15</v>
      </c>
      <c r="E112" s="2">
        <v>55.29</v>
      </c>
      <c r="F112" s="2">
        <v>53.46</v>
      </c>
    </row>
    <row r="113" spans="1:6" x14ac:dyDescent="0.35">
      <c r="A113" s="1">
        <v>45525</v>
      </c>
      <c r="B113" s="2">
        <v>54.64</v>
      </c>
      <c r="C113">
        <v>2259005</v>
      </c>
      <c r="D113" s="2">
        <v>54.72</v>
      </c>
      <c r="E113" s="2">
        <v>55.35</v>
      </c>
      <c r="F113" s="2">
        <v>54.11</v>
      </c>
    </row>
    <row r="114" spans="1:6" x14ac:dyDescent="0.35">
      <c r="A114" s="1">
        <v>45524</v>
      </c>
      <c r="B114" s="2">
        <v>54.26</v>
      </c>
      <c r="C114">
        <v>2115200</v>
      </c>
      <c r="D114" s="2">
        <v>54.79</v>
      </c>
      <c r="E114" s="2">
        <v>55.45</v>
      </c>
      <c r="F114" s="2">
        <v>53.71</v>
      </c>
    </row>
    <row r="115" spans="1:6" x14ac:dyDescent="0.35">
      <c r="A115" s="1">
        <v>45523</v>
      </c>
      <c r="B115" s="2">
        <v>54.88</v>
      </c>
      <c r="C115">
        <v>2444695</v>
      </c>
      <c r="D115" s="2">
        <v>54.1</v>
      </c>
      <c r="E115" s="2">
        <v>55.094999999999999</v>
      </c>
      <c r="F115" s="2">
        <v>53.67</v>
      </c>
    </row>
    <row r="116" spans="1:6" x14ac:dyDescent="0.35">
      <c r="A116" s="1">
        <v>45520</v>
      </c>
      <c r="B116" s="2">
        <v>53.91</v>
      </c>
      <c r="C116">
        <v>2014211</v>
      </c>
      <c r="D116" s="2">
        <v>53.81</v>
      </c>
      <c r="E116" s="2">
        <v>54.67</v>
      </c>
      <c r="F116" s="2">
        <v>53.32</v>
      </c>
    </row>
    <row r="117" spans="1:6" x14ac:dyDescent="0.35">
      <c r="A117" s="1">
        <v>45519</v>
      </c>
      <c r="B117" s="2">
        <v>53.73</v>
      </c>
      <c r="C117">
        <v>4182034</v>
      </c>
      <c r="D117" s="2">
        <v>52.99</v>
      </c>
      <c r="E117" s="2">
        <v>54.825000000000003</v>
      </c>
      <c r="F117" s="2">
        <v>52.69</v>
      </c>
    </row>
    <row r="118" spans="1:6" x14ac:dyDescent="0.35">
      <c r="A118" s="1">
        <v>45518</v>
      </c>
      <c r="B118" s="2">
        <v>51.5</v>
      </c>
      <c r="C118">
        <v>3469637</v>
      </c>
      <c r="D118" s="2">
        <v>53.74</v>
      </c>
      <c r="E118" s="2">
        <v>53.94</v>
      </c>
      <c r="F118" s="2">
        <v>51.45</v>
      </c>
    </row>
    <row r="119" spans="1:6" x14ac:dyDescent="0.35">
      <c r="A119" s="1">
        <v>45517</v>
      </c>
      <c r="B119" s="2">
        <v>54.064999999999998</v>
      </c>
      <c r="C119">
        <v>2820485</v>
      </c>
      <c r="D119" s="2">
        <v>53.5</v>
      </c>
      <c r="E119" s="2">
        <v>54.47</v>
      </c>
      <c r="F119" s="2">
        <v>52.54</v>
      </c>
    </row>
    <row r="120" spans="1:6" x14ac:dyDescent="0.35">
      <c r="A120" s="1">
        <v>45516</v>
      </c>
      <c r="B120" s="2">
        <v>53.19</v>
      </c>
      <c r="C120">
        <v>3282537</v>
      </c>
      <c r="D120" s="2">
        <v>55.07</v>
      </c>
      <c r="E120" s="2">
        <v>55.28</v>
      </c>
      <c r="F120" s="2">
        <v>52.97</v>
      </c>
    </row>
    <row r="121" spans="1:6" x14ac:dyDescent="0.35">
      <c r="A121" s="1">
        <v>45513</v>
      </c>
      <c r="B121" s="2">
        <v>54.97</v>
      </c>
      <c r="C121">
        <v>2815932</v>
      </c>
      <c r="D121" s="2">
        <v>54.09</v>
      </c>
      <c r="E121" s="2">
        <v>55.94</v>
      </c>
      <c r="F121" s="2">
        <v>53.74</v>
      </c>
    </row>
    <row r="122" spans="1:6" x14ac:dyDescent="0.35">
      <c r="A122" s="1">
        <v>45512</v>
      </c>
      <c r="B122" s="2">
        <v>54.23</v>
      </c>
      <c r="C122">
        <v>2428029</v>
      </c>
      <c r="D122" s="2">
        <v>53.64</v>
      </c>
      <c r="E122" s="2">
        <v>54.66</v>
      </c>
      <c r="F122" s="2">
        <v>53.4</v>
      </c>
    </row>
    <row r="123" spans="1:6" x14ac:dyDescent="0.35">
      <c r="A123" s="1">
        <v>45511</v>
      </c>
      <c r="B123" s="2">
        <v>53.36</v>
      </c>
      <c r="C123">
        <v>3630223</v>
      </c>
      <c r="D123" s="2">
        <v>54.76</v>
      </c>
      <c r="E123" s="2">
        <v>56.18</v>
      </c>
      <c r="F123" s="2">
        <v>53.284999999999997</v>
      </c>
    </row>
    <row r="124" spans="1:6" x14ac:dyDescent="0.35">
      <c r="A124" s="1">
        <v>45510</v>
      </c>
      <c r="B124" s="2">
        <v>53.98</v>
      </c>
      <c r="C124">
        <v>6391151</v>
      </c>
      <c r="D124" s="2">
        <v>55.454999999999998</v>
      </c>
      <c r="E124" s="2">
        <v>55.919899999999998</v>
      </c>
      <c r="F124" s="2">
        <v>53.47</v>
      </c>
    </row>
    <row r="125" spans="1:6" x14ac:dyDescent="0.35">
      <c r="A125" s="1">
        <v>45509</v>
      </c>
      <c r="B125" s="2">
        <v>55.45</v>
      </c>
      <c r="C125">
        <v>7237385</v>
      </c>
      <c r="D125" s="2">
        <v>56.37</v>
      </c>
      <c r="E125" s="2">
        <v>57.33</v>
      </c>
      <c r="F125" s="2">
        <v>54.61</v>
      </c>
    </row>
    <row r="126" spans="1:6" x14ac:dyDescent="0.35">
      <c r="A126" s="1">
        <v>45506</v>
      </c>
      <c r="B126" s="2">
        <v>59.35</v>
      </c>
      <c r="C126">
        <v>3774248</v>
      </c>
      <c r="D126" s="2">
        <v>59.18</v>
      </c>
      <c r="E126" s="2">
        <v>59.68</v>
      </c>
      <c r="F126" s="2">
        <v>58.01</v>
      </c>
    </row>
    <row r="127" spans="1:6" x14ac:dyDescent="0.35">
      <c r="A127" s="1">
        <v>45505</v>
      </c>
      <c r="B127" s="2">
        <v>60.16</v>
      </c>
      <c r="C127">
        <v>7829431</v>
      </c>
      <c r="D127" s="2">
        <v>63.5</v>
      </c>
      <c r="E127" s="2">
        <v>63.5</v>
      </c>
      <c r="F127" s="2">
        <v>58.46</v>
      </c>
    </row>
    <row r="128" spans="1:6" x14ac:dyDescent="0.35">
      <c r="A128" s="1">
        <v>45504</v>
      </c>
      <c r="B128" s="2">
        <v>65.14</v>
      </c>
      <c r="C128">
        <v>4748789</v>
      </c>
      <c r="D128" s="2">
        <v>64.989999999999995</v>
      </c>
      <c r="E128" s="2">
        <v>66.180000000000007</v>
      </c>
      <c r="F128" s="2">
        <v>64.52</v>
      </c>
    </row>
    <row r="129" spans="1:6" x14ac:dyDescent="0.35">
      <c r="A129" s="1">
        <v>45503</v>
      </c>
      <c r="B129" s="2">
        <v>64.52</v>
      </c>
      <c r="C129">
        <v>2713846</v>
      </c>
      <c r="D129" s="2">
        <v>63.36</v>
      </c>
      <c r="E129" s="2">
        <v>64.760000000000005</v>
      </c>
      <c r="F129" s="2">
        <v>63.3</v>
      </c>
    </row>
    <row r="130" spans="1:6" x14ac:dyDescent="0.35">
      <c r="A130" s="1">
        <v>45502</v>
      </c>
      <c r="B130" s="2">
        <v>63.87</v>
      </c>
      <c r="C130">
        <v>2891746</v>
      </c>
      <c r="D130" s="2">
        <v>63.15</v>
      </c>
      <c r="E130" s="2">
        <v>64.411900000000003</v>
      </c>
      <c r="F130" s="2">
        <v>62.604999999999997</v>
      </c>
    </row>
    <row r="131" spans="1:6" x14ac:dyDescent="0.35">
      <c r="A131" s="1">
        <v>45499</v>
      </c>
      <c r="B131" s="2">
        <v>62.27</v>
      </c>
      <c r="C131">
        <v>3003317</v>
      </c>
      <c r="D131" s="2">
        <v>61.49</v>
      </c>
      <c r="E131" s="2">
        <v>62.45</v>
      </c>
      <c r="F131" s="2">
        <v>61.15</v>
      </c>
    </row>
    <row r="132" spans="1:6" x14ac:dyDescent="0.35">
      <c r="A132" s="1">
        <v>45498</v>
      </c>
      <c r="B132" s="2">
        <v>60.43</v>
      </c>
      <c r="C132">
        <v>2372292</v>
      </c>
      <c r="D132" s="2">
        <v>60.06</v>
      </c>
      <c r="E132" s="2">
        <v>62.24</v>
      </c>
      <c r="F132" s="2">
        <v>59.29</v>
      </c>
    </row>
    <row r="133" spans="1:6" x14ac:dyDescent="0.35">
      <c r="A133" s="1">
        <v>45497</v>
      </c>
      <c r="B133" s="2">
        <v>60.26</v>
      </c>
      <c r="C133">
        <v>2840571</v>
      </c>
      <c r="D133" s="2">
        <v>60.85</v>
      </c>
      <c r="E133" s="2">
        <v>61.8</v>
      </c>
      <c r="F133" s="2">
        <v>59.69</v>
      </c>
    </row>
    <row r="134" spans="1:6" x14ac:dyDescent="0.35">
      <c r="A134" s="1">
        <v>45496</v>
      </c>
      <c r="B134" s="2">
        <v>60.79</v>
      </c>
      <c r="C134">
        <v>3092448</v>
      </c>
      <c r="D134" s="2">
        <v>61.81</v>
      </c>
      <c r="E134" s="2">
        <v>62.28</v>
      </c>
      <c r="F134" s="2">
        <v>60.45</v>
      </c>
    </row>
    <row r="135" spans="1:6" x14ac:dyDescent="0.35">
      <c r="A135" s="1">
        <v>45495</v>
      </c>
      <c r="B135" s="2">
        <v>62.39</v>
      </c>
      <c r="C135">
        <v>3642151</v>
      </c>
      <c r="D135" s="2">
        <v>62.1</v>
      </c>
      <c r="E135" s="2">
        <v>62.68</v>
      </c>
      <c r="F135" s="2">
        <v>60.234999999999999</v>
      </c>
    </row>
    <row r="136" spans="1:6" x14ac:dyDescent="0.35">
      <c r="A136" s="1">
        <v>45492</v>
      </c>
      <c r="B136" s="2">
        <v>62.76</v>
      </c>
      <c r="C136">
        <v>3042739</v>
      </c>
      <c r="D136" s="2">
        <v>62.97</v>
      </c>
      <c r="E136" s="2">
        <v>63.08</v>
      </c>
      <c r="F136" s="2">
        <v>61.242400000000004</v>
      </c>
    </row>
    <row r="137" spans="1:6" x14ac:dyDescent="0.35">
      <c r="A137" s="1">
        <v>45491</v>
      </c>
      <c r="B137" s="2">
        <v>63.66</v>
      </c>
      <c r="C137">
        <v>2339086</v>
      </c>
      <c r="D137" s="2">
        <v>64.760000000000005</v>
      </c>
      <c r="E137" s="2">
        <v>66.805000000000007</v>
      </c>
      <c r="F137" s="2">
        <v>63.59</v>
      </c>
    </row>
    <row r="138" spans="1:6" x14ac:dyDescent="0.35">
      <c r="A138" s="1">
        <v>45490</v>
      </c>
      <c r="B138" s="2">
        <v>64.95</v>
      </c>
      <c r="C138">
        <v>3415272</v>
      </c>
      <c r="D138" s="2">
        <v>64.680000000000007</v>
      </c>
      <c r="E138" s="2">
        <v>65.930000000000007</v>
      </c>
      <c r="F138" s="2">
        <v>63.81</v>
      </c>
    </row>
    <row r="139" spans="1:6" x14ac:dyDescent="0.35">
      <c r="A139" s="1">
        <v>45489</v>
      </c>
      <c r="B139" s="2">
        <v>65.47</v>
      </c>
      <c r="C139">
        <v>4153189</v>
      </c>
      <c r="D139" s="2">
        <v>61.71</v>
      </c>
      <c r="E139" s="2">
        <v>65.95</v>
      </c>
      <c r="F139" s="2">
        <v>61.71</v>
      </c>
    </row>
    <row r="140" spans="1:6" x14ac:dyDescent="0.35">
      <c r="A140" s="1">
        <v>45488</v>
      </c>
      <c r="B140" s="2">
        <v>61.57</v>
      </c>
      <c r="C140">
        <v>2593229</v>
      </c>
      <c r="D140" s="2">
        <v>61</v>
      </c>
      <c r="E140" s="2">
        <v>62.25</v>
      </c>
      <c r="F140" s="2">
        <v>60.45</v>
      </c>
    </row>
    <row r="141" spans="1:6" x14ac:dyDescent="0.35">
      <c r="A141" s="1">
        <v>45485</v>
      </c>
      <c r="B141" s="2">
        <v>60.5</v>
      </c>
      <c r="C141">
        <v>4076776</v>
      </c>
      <c r="D141" s="2">
        <v>58.47</v>
      </c>
      <c r="E141" s="2">
        <v>60.98</v>
      </c>
      <c r="F141" s="2">
        <v>58.44</v>
      </c>
    </row>
    <row r="142" spans="1:6" x14ac:dyDescent="0.35">
      <c r="A142" s="1">
        <v>45484</v>
      </c>
      <c r="B142" s="2">
        <v>58.31</v>
      </c>
      <c r="C142">
        <v>2604417</v>
      </c>
      <c r="D142" s="2">
        <v>57.94</v>
      </c>
      <c r="E142" s="2">
        <v>59.45</v>
      </c>
      <c r="F142" s="2">
        <v>57.94</v>
      </c>
    </row>
    <row r="143" spans="1:6" x14ac:dyDescent="0.35">
      <c r="A143" s="1">
        <v>45483</v>
      </c>
      <c r="B143" s="2">
        <v>57.32</v>
      </c>
      <c r="C143">
        <v>3359539</v>
      </c>
      <c r="D143" s="2">
        <v>57.24</v>
      </c>
      <c r="E143" s="2">
        <v>57.66</v>
      </c>
      <c r="F143" s="2">
        <v>56.66</v>
      </c>
    </row>
    <row r="144" spans="1:6" x14ac:dyDescent="0.35">
      <c r="A144" s="1">
        <v>45482</v>
      </c>
      <c r="B144" s="2">
        <v>57.01</v>
      </c>
      <c r="C144">
        <v>2967192</v>
      </c>
      <c r="D144" s="2">
        <v>55.37</v>
      </c>
      <c r="E144" s="2">
        <v>57.19</v>
      </c>
      <c r="F144" s="2">
        <v>55.12</v>
      </c>
    </row>
    <row r="145" spans="1:6" x14ac:dyDescent="0.35">
      <c r="A145" s="1">
        <v>45481</v>
      </c>
      <c r="B145" s="2">
        <v>55.37</v>
      </c>
      <c r="C145">
        <v>5003193</v>
      </c>
      <c r="D145" s="2">
        <v>58.47</v>
      </c>
      <c r="E145" s="2">
        <v>58.5</v>
      </c>
      <c r="F145" s="2">
        <v>55.08</v>
      </c>
    </row>
    <row r="146" spans="1:6" x14ac:dyDescent="0.35">
      <c r="A146" s="1">
        <v>45478</v>
      </c>
      <c r="B146" s="2">
        <v>58.45</v>
      </c>
      <c r="C146">
        <v>1639873</v>
      </c>
      <c r="D146" s="2">
        <v>58.3</v>
      </c>
      <c r="E146" s="2">
        <v>58.61</v>
      </c>
      <c r="F146" s="2">
        <v>57.61</v>
      </c>
    </row>
    <row r="147" spans="1:6" x14ac:dyDescent="0.35">
      <c r="A147" s="1">
        <v>45476</v>
      </c>
      <c r="B147" s="2">
        <v>58.23</v>
      </c>
      <c r="C147">
        <v>1135190</v>
      </c>
      <c r="D147" s="2">
        <v>58.06</v>
      </c>
      <c r="E147" s="2">
        <v>59.05</v>
      </c>
      <c r="F147" s="2">
        <v>57.78</v>
      </c>
    </row>
    <row r="148" spans="1:6" x14ac:dyDescent="0.35">
      <c r="A148" s="1">
        <v>45475</v>
      </c>
      <c r="B148" s="2">
        <v>58.26</v>
      </c>
      <c r="C148">
        <v>2056936</v>
      </c>
      <c r="D148" s="2">
        <v>57.35</v>
      </c>
      <c r="E148" s="2">
        <v>58.32</v>
      </c>
      <c r="F148" s="2">
        <v>56.86</v>
      </c>
    </row>
    <row r="149" spans="1:6" x14ac:dyDescent="0.35">
      <c r="A149" s="1">
        <v>45474</v>
      </c>
      <c r="B149" s="2">
        <v>57.01</v>
      </c>
      <c r="C149">
        <v>2909100</v>
      </c>
      <c r="D149" s="2">
        <v>59.18</v>
      </c>
      <c r="E149" s="2">
        <v>59.729300000000002</v>
      </c>
      <c r="F149" s="2">
        <v>56.68</v>
      </c>
    </row>
    <row r="150" spans="1:6" x14ac:dyDescent="0.35">
      <c r="A150" s="1">
        <v>45471</v>
      </c>
      <c r="B150" s="2">
        <v>58.98</v>
      </c>
      <c r="C150">
        <v>4395809</v>
      </c>
      <c r="D150" s="2">
        <v>58.72</v>
      </c>
      <c r="E150" s="2">
        <v>59.34</v>
      </c>
      <c r="F150" s="2">
        <v>58.06</v>
      </c>
    </row>
    <row r="151" spans="1:6" x14ac:dyDescent="0.35">
      <c r="A151" s="1">
        <v>45470</v>
      </c>
      <c r="B151" s="2">
        <v>58.72</v>
      </c>
      <c r="C151">
        <v>4483612</v>
      </c>
      <c r="D151" s="2">
        <v>59.42</v>
      </c>
      <c r="E151" s="2">
        <v>59.42</v>
      </c>
      <c r="F151" s="2">
        <v>58.61</v>
      </c>
    </row>
    <row r="152" spans="1:6" x14ac:dyDescent="0.35">
      <c r="A152" s="1">
        <v>45469</v>
      </c>
      <c r="B152" s="2">
        <v>59.49</v>
      </c>
      <c r="C152">
        <v>2631319</v>
      </c>
      <c r="D152" s="2">
        <v>59.16</v>
      </c>
      <c r="E152" s="2">
        <v>60</v>
      </c>
      <c r="F152" s="2">
        <v>58.3</v>
      </c>
    </row>
    <row r="153" spans="1:6" x14ac:dyDescent="0.35">
      <c r="A153" s="1">
        <v>45468</v>
      </c>
      <c r="B153" s="2">
        <v>59.49</v>
      </c>
      <c r="C153">
        <v>2578654</v>
      </c>
      <c r="D153" s="2">
        <v>59.41</v>
      </c>
      <c r="E153" s="2">
        <v>60.231299999999997</v>
      </c>
      <c r="F153" s="2">
        <v>58.92</v>
      </c>
    </row>
    <row r="154" spans="1:6" x14ac:dyDescent="0.35">
      <c r="A154" s="1">
        <v>45467</v>
      </c>
      <c r="B154" s="2">
        <v>59.95</v>
      </c>
      <c r="C154">
        <v>3114205</v>
      </c>
      <c r="D154" s="2">
        <v>60.04</v>
      </c>
      <c r="E154" s="2">
        <v>61.1</v>
      </c>
      <c r="F154" s="2">
        <v>58.935000000000002</v>
      </c>
    </row>
    <row r="155" spans="1:6" x14ac:dyDescent="0.35">
      <c r="A155" s="1">
        <v>45464</v>
      </c>
      <c r="B155" s="2">
        <v>60.17</v>
      </c>
      <c r="C155">
        <v>7623134</v>
      </c>
      <c r="D155" s="2">
        <v>59.03</v>
      </c>
      <c r="E155" s="2">
        <v>61.1</v>
      </c>
      <c r="F155" s="2">
        <v>58.75</v>
      </c>
    </row>
    <row r="156" spans="1:6" x14ac:dyDescent="0.35">
      <c r="A156" s="1">
        <v>45463</v>
      </c>
      <c r="B156" s="2">
        <v>58.2</v>
      </c>
      <c r="C156">
        <v>2814863</v>
      </c>
      <c r="D156" s="2">
        <v>57.35</v>
      </c>
      <c r="E156" s="2">
        <v>58.38</v>
      </c>
      <c r="F156" s="2">
        <v>57.07</v>
      </c>
    </row>
    <row r="157" spans="1:6" x14ac:dyDescent="0.35">
      <c r="A157" s="1">
        <v>45461</v>
      </c>
      <c r="B157" s="2">
        <v>57.67</v>
      </c>
      <c r="C157">
        <v>2720546</v>
      </c>
      <c r="D157" s="2">
        <v>58.51</v>
      </c>
      <c r="E157" s="2">
        <v>59.125</v>
      </c>
      <c r="F157" s="2">
        <v>57.57</v>
      </c>
    </row>
    <row r="158" spans="1:6" x14ac:dyDescent="0.35">
      <c r="A158" s="1">
        <v>45460</v>
      </c>
      <c r="B158" s="2">
        <v>58.7</v>
      </c>
      <c r="C158">
        <v>2908205</v>
      </c>
      <c r="D158" s="2">
        <v>58.7</v>
      </c>
      <c r="E158" s="2">
        <v>60.24</v>
      </c>
      <c r="F158" s="2">
        <v>58.58</v>
      </c>
    </row>
    <row r="159" spans="1:6" x14ac:dyDescent="0.35">
      <c r="A159" s="1">
        <v>45457</v>
      </c>
      <c r="B159" s="2">
        <v>58.87</v>
      </c>
      <c r="C159">
        <v>3764799</v>
      </c>
      <c r="D159" s="2">
        <v>59.43</v>
      </c>
      <c r="E159" s="2">
        <v>59.92</v>
      </c>
      <c r="F159" s="2">
        <v>58.56</v>
      </c>
    </row>
    <row r="160" spans="1:6" x14ac:dyDescent="0.35">
      <c r="A160" s="1">
        <v>45456</v>
      </c>
      <c r="B160" s="2">
        <v>60.14</v>
      </c>
      <c r="C160">
        <v>3523952</v>
      </c>
      <c r="D160" s="2">
        <v>63.3</v>
      </c>
      <c r="E160" s="2">
        <v>63.55</v>
      </c>
      <c r="F160" s="2">
        <v>60.09</v>
      </c>
    </row>
    <row r="161" spans="1:6" x14ac:dyDescent="0.35">
      <c r="A161" s="1">
        <v>45455</v>
      </c>
      <c r="B161" s="2">
        <v>63.27</v>
      </c>
      <c r="C161">
        <v>3505560</v>
      </c>
      <c r="D161" s="2">
        <v>66.75</v>
      </c>
      <c r="E161" s="2">
        <v>66.900000000000006</v>
      </c>
      <c r="F161" s="2">
        <v>63.1</v>
      </c>
    </row>
    <row r="162" spans="1:6" x14ac:dyDescent="0.35">
      <c r="A162" s="1">
        <v>45454</v>
      </c>
      <c r="B162" s="2">
        <v>65.459999999999994</v>
      </c>
      <c r="C162">
        <v>2591179</v>
      </c>
      <c r="D162" s="2">
        <v>66.290000000000006</v>
      </c>
      <c r="E162" s="2">
        <v>66.44</v>
      </c>
      <c r="F162" s="2">
        <v>64.05</v>
      </c>
    </row>
    <row r="163" spans="1:6" x14ac:dyDescent="0.35">
      <c r="A163" s="1">
        <v>45453</v>
      </c>
      <c r="B163" s="2">
        <v>66.069999999999993</v>
      </c>
      <c r="C163">
        <v>1569469</v>
      </c>
      <c r="D163" s="2">
        <v>64.44</v>
      </c>
      <c r="E163" s="2">
        <v>66.224999999999994</v>
      </c>
      <c r="F163" s="2">
        <v>64.25</v>
      </c>
    </row>
    <row r="164" spans="1:6" x14ac:dyDescent="0.35">
      <c r="A164" s="1">
        <v>45450</v>
      </c>
      <c r="B164" s="2">
        <v>65.28</v>
      </c>
      <c r="C164">
        <v>2061476</v>
      </c>
      <c r="D164" s="2">
        <v>65.75</v>
      </c>
      <c r="E164" s="2">
        <v>66.28</v>
      </c>
      <c r="F164" s="2">
        <v>65.11</v>
      </c>
    </row>
    <row r="165" spans="1:6" x14ac:dyDescent="0.35">
      <c r="A165" s="1">
        <v>45449</v>
      </c>
      <c r="B165" s="2">
        <v>66.22</v>
      </c>
      <c r="C165">
        <v>2792925</v>
      </c>
      <c r="D165" s="2">
        <v>64.510000000000005</v>
      </c>
      <c r="E165" s="2">
        <v>66.930000000000007</v>
      </c>
      <c r="F165" s="2">
        <v>64.42</v>
      </c>
    </row>
    <row r="166" spans="1:6" x14ac:dyDescent="0.35">
      <c r="A166" s="1">
        <v>45448</v>
      </c>
      <c r="B166" s="2">
        <v>64.86</v>
      </c>
      <c r="C166">
        <v>2136372</v>
      </c>
      <c r="D166" s="2">
        <v>65.150000000000006</v>
      </c>
      <c r="E166" s="2">
        <v>65.2</v>
      </c>
      <c r="F166" s="2">
        <v>64.260000000000005</v>
      </c>
    </row>
    <row r="167" spans="1:6" x14ac:dyDescent="0.35">
      <c r="A167" s="1">
        <v>45447</v>
      </c>
      <c r="B167" s="2">
        <v>64.91</v>
      </c>
      <c r="C167">
        <v>2305535</v>
      </c>
      <c r="D167" s="2">
        <v>64.59</v>
      </c>
      <c r="E167" s="2">
        <v>65.599999999999994</v>
      </c>
      <c r="F167" s="2">
        <v>63.75</v>
      </c>
    </row>
    <row r="168" spans="1:6" x14ac:dyDescent="0.35">
      <c r="A168" s="1">
        <v>45446</v>
      </c>
      <c r="B168" s="2">
        <v>65.2</v>
      </c>
      <c r="C168">
        <v>5225841</v>
      </c>
      <c r="D168" s="2">
        <v>63.84</v>
      </c>
      <c r="E168" s="2">
        <v>65.849999999999994</v>
      </c>
      <c r="F168" s="2">
        <v>63.44</v>
      </c>
    </row>
    <row r="169" spans="1:6" x14ac:dyDescent="0.35">
      <c r="A169" s="1">
        <v>45443</v>
      </c>
      <c r="B169" s="2">
        <v>63.47</v>
      </c>
      <c r="C169">
        <v>4228636</v>
      </c>
      <c r="D169" s="2">
        <v>61.86</v>
      </c>
      <c r="E169" s="2">
        <v>63.52</v>
      </c>
      <c r="F169" s="2">
        <v>61.49</v>
      </c>
    </row>
    <row r="170" spans="1:6" x14ac:dyDescent="0.35">
      <c r="A170" s="1">
        <v>45442</v>
      </c>
      <c r="B170" s="2">
        <v>61.43</v>
      </c>
      <c r="C170">
        <v>3500192</v>
      </c>
      <c r="D170" s="2">
        <v>60.99</v>
      </c>
      <c r="E170" s="2">
        <v>63.49</v>
      </c>
      <c r="F170" s="2">
        <v>60.75</v>
      </c>
    </row>
    <row r="171" spans="1:6" x14ac:dyDescent="0.35">
      <c r="A171" s="1">
        <v>45441</v>
      </c>
      <c r="B171" s="2">
        <v>60.8</v>
      </c>
      <c r="C171">
        <v>2079452</v>
      </c>
      <c r="D171" s="2">
        <v>60.05</v>
      </c>
      <c r="E171" s="2">
        <v>61.11</v>
      </c>
      <c r="F171" s="2">
        <v>59.74</v>
      </c>
    </row>
    <row r="172" spans="1:6" x14ac:dyDescent="0.35">
      <c r="A172" s="1">
        <v>45440</v>
      </c>
      <c r="B172" s="2">
        <v>61.07</v>
      </c>
      <c r="C172">
        <v>2793335</v>
      </c>
      <c r="D172" s="2">
        <v>60.8</v>
      </c>
      <c r="E172" s="2">
        <v>61.23</v>
      </c>
      <c r="F172" s="2">
        <v>59.87</v>
      </c>
    </row>
    <row r="173" spans="1:6" x14ac:dyDescent="0.35">
      <c r="A173" s="1">
        <v>45436</v>
      </c>
      <c r="B173" s="2">
        <v>60.62</v>
      </c>
      <c r="C173">
        <v>5389052</v>
      </c>
      <c r="D173" s="2">
        <v>62.33</v>
      </c>
      <c r="E173" s="2">
        <v>62.56</v>
      </c>
      <c r="F173" s="2">
        <v>60.2</v>
      </c>
    </row>
    <row r="174" spans="1:6" x14ac:dyDescent="0.35">
      <c r="A174" s="1">
        <v>45435</v>
      </c>
      <c r="B174" s="2">
        <v>62.08</v>
      </c>
      <c r="C174">
        <v>2368068</v>
      </c>
      <c r="D174" s="2">
        <v>63.62</v>
      </c>
      <c r="E174" s="2">
        <v>63.87</v>
      </c>
      <c r="F174" s="2">
        <v>62.05</v>
      </c>
    </row>
    <row r="175" spans="1:6" x14ac:dyDescent="0.35">
      <c r="A175" s="1">
        <v>45434</v>
      </c>
      <c r="B175" s="2">
        <v>64.040000000000006</v>
      </c>
      <c r="C175">
        <v>2116236</v>
      </c>
      <c r="D175" s="2">
        <v>64.040000000000006</v>
      </c>
      <c r="E175" s="2">
        <v>64.25</v>
      </c>
      <c r="F175" s="2">
        <v>63.23</v>
      </c>
    </row>
    <row r="176" spans="1:6" x14ac:dyDescent="0.35">
      <c r="A176" s="1">
        <v>45433</v>
      </c>
      <c r="B176" s="2">
        <v>64.180000000000007</v>
      </c>
      <c r="C176">
        <v>2221666</v>
      </c>
      <c r="D176" s="2">
        <v>64.08</v>
      </c>
      <c r="E176" s="2">
        <v>64.344999999999999</v>
      </c>
      <c r="F176" s="2">
        <v>63.22</v>
      </c>
    </row>
    <row r="177" spans="1:6" x14ac:dyDescent="0.35">
      <c r="A177" s="1">
        <v>45432</v>
      </c>
      <c r="B177" s="2">
        <v>64.13</v>
      </c>
      <c r="C177">
        <v>2801016</v>
      </c>
      <c r="D177" s="2">
        <v>64</v>
      </c>
      <c r="E177" s="2">
        <v>64.73</v>
      </c>
      <c r="F177" s="2">
        <v>63.7</v>
      </c>
    </row>
    <row r="178" spans="1:6" x14ac:dyDescent="0.35">
      <c r="A178" s="1">
        <v>45429</v>
      </c>
      <c r="B178" s="2">
        <v>63.97</v>
      </c>
      <c r="C178">
        <v>2050310</v>
      </c>
      <c r="D178" s="2">
        <v>64.28</v>
      </c>
      <c r="E178" s="2">
        <v>65.14</v>
      </c>
      <c r="F178" s="2">
        <v>63.65</v>
      </c>
    </row>
    <row r="179" spans="1:6" x14ac:dyDescent="0.35">
      <c r="A179" s="1">
        <v>45428</v>
      </c>
      <c r="B179" s="2">
        <v>64.09</v>
      </c>
      <c r="C179">
        <v>2453827</v>
      </c>
      <c r="D179" s="2">
        <v>64.5</v>
      </c>
      <c r="E179" s="2">
        <v>64.5</v>
      </c>
      <c r="F179" s="2">
        <v>63.02</v>
      </c>
    </row>
    <row r="180" spans="1:6" x14ac:dyDescent="0.35">
      <c r="A180" s="1">
        <v>45427</v>
      </c>
      <c r="B180" s="2">
        <v>64.569999999999993</v>
      </c>
      <c r="C180">
        <v>2672474</v>
      </c>
      <c r="D180" s="2">
        <v>64.489999999999995</v>
      </c>
      <c r="E180" s="2">
        <v>64.86</v>
      </c>
      <c r="F180" s="2">
        <v>63.12</v>
      </c>
    </row>
    <row r="181" spans="1:6" x14ac:dyDescent="0.35">
      <c r="A181" s="1">
        <v>45426</v>
      </c>
      <c r="B181" s="2">
        <v>63.57</v>
      </c>
      <c r="C181">
        <v>4110315</v>
      </c>
      <c r="D181" s="2">
        <v>63.65</v>
      </c>
      <c r="E181" s="2">
        <v>64.56</v>
      </c>
      <c r="F181" s="2">
        <v>63.09</v>
      </c>
    </row>
    <row r="182" spans="1:6" x14ac:dyDescent="0.35">
      <c r="A182" s="1">
        <v>45425</v>
      </c>
      <c r="B182" s="2">
        <v>62.51</v>
      </c>
      <c r="C182">
        <v>3722047</v>
      </c>
      <c r="D182" s="2">
        <v>62.71</v>
      </c>
      <c r="E182" s="2">
        <v>63.92</v>
      </c>
      <c r="F182" s="2">
        <v>61.84</v>
      </c>
    </row>
    <row r="183" spans="1:6" x14ac:dyDescent="0.35">
      <c r="A183" s="1">
        <v>45422</v>
      </c>
      <c r="B183" s="2">
        <v>61.92</v>
      </c>
      <c r="C183">
        <v>3124299</v>
      </c>
      <c r="D183" s="2">
        <v>63.79</v>
      </c>
      <c r="E183" s="2">
        <v>63.89</v>
      </c>
      <c r="F183" s="2">
        <v>61.76</v>
      </c>
    </row>
    <row r="184" spans="1:6" x14ac:dyDescent="0.35">
      <c r="A184" s="1">
        <v>45421</v>
      </c>
      <c r="B184" s="2">
        <v>63.45</v>
      </c>
      <c r="C184">
        <v>2598348</v>
      </c>
      <c r="D184" s="2">
        <v>63</v>
      </c>
      <c r="E184" s="2">
        <v>63.6357</v>
      </c>
      <c r="F184" s="2">
        <v>62.39</v>
      </c>
    </row>
    <row r="185" spans="1:6" x14ac:dyDescent="0.35">
      <c r="A185" s="1">
        <v>45420</v>
      </c>
      <c r="B185" s="2">
        <v>62.57</v>
      </c>
      <c r="C185">
        <v>3591363</v>
      </c>
      <c r="D185" s="2">
        <v>61.82</v>
      </c>
      <c r="E185" s="2">
        <v>62.74</v>
      </c>
      <c r="F185" s="2">
        <v>60.571100000000001</v>
      </c>
    </row>
    <row r="186" spans="1:6" x14ac:dyDescent="0.35">
      <c r="A186" s="1">
        <v>45419</v>
      </c>
      <c r="B186" s="2">
        <v>62.77</v>
      </c>
      <c r="C186">
        <v>2025386</v>
      </c>
      <c r="D186" s="2">
        <v>62.38</v>
      </c>
      <c r="E186" s="2">
        <v>62.88</v>
      </c>
      <c r="F186" s="2">
        <v>61.91</v>
      </c>
    </row>
    <row r="187" spans="1:6" x14ac:dyDescent="0.35">
      <c r="A187" s="1">
        <v>45418</v>
      </c>
      <c r="B187" s="2">
        <v>62.46</v>
      </c>
      <c r="C187">
        <v>5261838</v>
      </c>
      <c r="D187" s="2">
        <v>60.17</v>
      </c>
      <c r="E187" s="2">
        <v>62.93</v>
      </c>
      <c r="F187" s="2">
        <v>59.26</v>
      </c>
    </row>
    <row r="188" spans="1:6" x14ac:dyDescent="0.35">
      <c r="A188" s="1">
        <v>45415</v>
      </c>
      <c r="B188" s="2">
        <v>59.97</v>
      </c>
      <c r="C188">
        <v>5617654</v>
      </c>
      <c r="D188" s="2">
        <v>60.03</v>
      </c>
      <c r="E188" s="2">
        <v>62.25</v>
      </c>
      <c r="F188" s="2">
        <v>59.505000000000003</v>
      </c>
    </row>
    <row r="189" spans="1:6" x14ac:dyDescent="0.35">
      <c r="A189" s="1">
        <v>45414</v>
      </c>
      <c r="B189" s="2">
        <v>59.24</v>
      </c>
      <c r="C189">
        <v>19858460</v>
      </c>
      <c r="D189" s="2">
        <v>58.57</v>
      </c>
      <c r="E189" s="2">
        <v>60.96</v>
      </c>
      <c r="F189" s="2">
        <v>56.6</v>
      </c>
    </row>
    <row r="190" spans="1:6" x14ac:dyDescent="0.35">
      <c r="A190" s="1">
        <v>45413</v>
      </c>
      <c r="B190" s="2">
        <v>69.739999999999995</v>
      </c>
      <c r="C190">
        <v>6108206</v>
      </c>
      <c r="D190" s="2">
        <v>68.63</v>
      </c>
      <c r="E190" s="2">
        <v>71.72</v>
      </c>
      <c r="F190" s="2">
        <v>68.63</v>
      </c>
    </row>
    <row r="191" spans="1:6" x14ac:dyDescent="0.35">
      <c r="A191" s="1">
        <v>45412</v>
      </c>
      <c r="B191" s="2">
        <v>68.67</v>
      </c>
      <c r="C191">
        <v>2718631</v>
      </c>
      <c r="D191" s="2">
        <v>68.09</v>
      </c>
      <c r="E191" s="2">
        <v>69.5</v>
      </c>
      <c r="F191" s="2">
        <v>68.09</v>
      </c>
    </row>
    <row r="192" spans="1:6" x14ac:dyDescent="0.35">
      <c r="A192" s="1">
        <v>45411</v>
      </c>
      <c r="B192" s="2">
        <v>68.88</v>
      </c>
      <c r="C192">
        <v>3167459</v>
      </c>
      <c r="D192" s="2">
        <v>67.650000000000006</v>
      </c>
      <c r="E192" s="2">
        <v>69.290000000000006</v>
      </c>
      <c r="F192" s="2">
        <v>67.58</v>
      </c>
    </row>
    <row r="193" spans="1:6" x14ac:dyDescent="0.35">
      <c r="A193" s="1">
        <v>45408</v>
      </c>
      <c r="B193" s="2">
        <v>67.430000000000007</v>
      </c>
      <c r="C193">
        <v>2072543</v>
      </c>
      <c r="D193" s="2">
        <v>67.349999999999994</v>
      </c>
      <c r="E193" s="2">
        <v>68.284999999999997</v>
      </c>
      <c r="F193" s="2">
        <v>67.11</v>
      </c>
    </row>
    <row r="194" spans="1:6" x14ac:dyDescent="0.35">
      <c r="A194" s="1">
        <v>45407</v>
      </c>
      <c r="B194" s="2">
        <v>67.2</v>
      </c>
      <c r="C194">
        <v>2174787</v>
      </c>
      <c r="D194" s="2">
        <v>65.900000000000006</v>
      </c>
      <c r="E194" s="2">
        <v>67.52</v>
      </c>
      <c r="F194" s="2">
        <v>65.598600000000005</v>
      </c>
    </row>
    <row r="195" spans="1:6" x14ac:dyDescent="0.35">
      <c r="A195" s="1">
        <v>45406</v>
      </c>
      <c r="B195" s="2">
        <v>66.87</v>
      </c>
      <c r="C195">
        <v>2640983</v>
      </c>
      <c r="D195" s="2">
        <v>67.66</v>
      </c>
      <c r="E195" s="2">
        <v>68.489999999999995</v>
      </c>
      <c r="F195" s="2">
        <v>65.644999999999996</v>
      </c>
    </row>
    <row r="196" spans="1:6" x14ac:dyDescent="0.35">
      <c r="A196" s="1">
        <v>45405</v>
      </c>
      <c r="B196" s="2">
        <v>68.349999999999994</v>
      </c>
      <c r="C196">
        <v>2488230</v>
      </c>
      <c r="D196" s="2">
        <v>66.599999999999994</v>
      </c>
      <c r="E196" s="2">
        <v>69.039400000000001</v>
      </c>
      <c r="F196" s="2">
        <v>66.42</v>
      </c>
    </row>
    <row r="197" spans="1:6" x14ac:dyDescent="0.35">
      <c r="A197" s="1">
        <v>45404</v>
      </c>
      <c r="B197" s="2">
        <v>66.45</v>
      </c>
      <c r="C197">
        <v>2716898</v>
      </c>
      <c r="D197" s="2">
        <v>66.59</v>
      </c>
      <c r="E197" s="2">
        <v>67.13</v>
      </c>
      <c r="F197" s="2">
        <v>65.2</v>
      </c>
    </row>
    <row r="198" spans="1:6" x14ac:dyDescent="0.35">
      <c r="A198" s="1">
        <v>45401</v>
      </c>
      <c r="B198" s="2">
        <v>66.760000000000005</v>
      </c>
      <c r="C198">
        <v>2219511</v>
      </c>
      <c r="D198" s="2">
        <v>68.19</v>
      </c>
      <c r="E198" s="2">
        <v>68.19</v>
      </c>
      <c r="F198" s="2">
        <v>66.650000000000006</v>
      </c>
    </row>
    <row r="199" spans="1:6" x14ac:dyDescent="0.35">
      <c r="A199" s="1">
        <v>45400</v>
      </c>
      <c r="B199" s="2">
        <v>67.34</v>
      </c>
      <c r="C199">
        <v>3370603</v>
      </c>
      <c r="D199" s="2">
        <v>65.349999999999994</v>
      </c>
      <c r="E199" s="2">
        <v>67.459999999999994</v>
      </c>
      <c r="F199" s="2">
        <v>65.28</v>
      </c>
    </row>
    <row r="200" spans="1:6" x14ac:dyDescent="0.35">
      <c r="A200" s="1">
        <v>45399</v>
      </c>
      <c r="B200" s="2">
        <v>67.489999999999995</v>
      </c>
      <c r="C200">
        <v>2530890</v>
      </c>
      <c r="D200" s="2">
        <v>68.5</v>
      </c>
      <c r="E200" s="2">
        <v>69.349999999999994</v>
      </c>
      <c r="F200" s="2">
        <v>66.14</v>
      </c>
    </row>
    <row r="201" spans="1:6" x14ac:dyDescent="0.35">
      <c r="A201" s="1">
        <v>45398</v>
      </c>
      <c r="B201" s="2">
        <v>68.36</v>
      </c>
      <c r="C201">
        <v>3630800</v>
      </c>
      <c r="D201" s="2">
        <v>66.45</v>
      </c>
      <c r="E201" s="2">
        <v>69.69</v>
      </c>
      <c r="F201" s="2">
        <v>66.150000000000006</v>
      </c>
    </row>
    <row r="202" spans="1:6" x14ac:dyDescent="0.35">
      <c r="A202" s="1">
        <v>45397</v>
      </c>
      <c r="B202" s="2">
        <v>66.73</v>
      </c>
      <c r="C202">
        <v>3001430</v>
      </c>
      <c r="D202" s="2">
        <v>66.92</v>
      </c>
      <c r="E202" s="2">
        <v>69.06</v>
      </c>
      <c r="F202" s="2">
        <v>66.42</v>
      </c>
    </row>
    <row r="203" spans="1:6" x14ac:dyDescent="0.35">
      <c r="A203" s="1">
        <v>45394</v>
      </c>
      <c r="B203" s="2">
        <v>67.05</v>
      </c>
      <c r="C203">
        <v>1768992</v>
      </c>
      <c r="D203" s="2">
        <v>68.34</v>
      </c>
      <c r="E203" s="2">
        <v>68.34</v>
      </c>
      <c r="F203" s="2">
        <v>66.66</v>
      </c>
    </row>
    <row r="204" spans="1:6" x14ac:dyDescent="0.35">
      <c r="A204" s="1">
        <v>45393</v>
      </c>
      <c r="B204" s="2">
        <v>68.41</v>
      </c>
      <c r="C204">
        <v>1939573</v>
      </c>
      <c r="D204" s="2">
        <v>68.22</v>
      </c>
      <c r="E204" s="2">
        <v>68.579899999999995</v>
      </c>
      <c r="F204" s="2">
        <v>66.98</v>
      </c>
    </row>
    <row r="205" spans="1:6" x14ac:dyDescent="0.35">
      <c r="A205" s="1">
        <v>45392</v>
      </c>
      <c r="B205" s="2">
        <v>67.69</v>
      </c>
      <c r="C205">
        <v>2556337</v>
      </c>
      <c r="D205" s="2">
        <v>67.05</v>
      </c>
      <c r="E205" s="2">
        <v>68.08</v>
      </c>
      <c r="F205" s="2">
        <v>66.25</v>
      </c>
    </row>
    <row r="206" spans="1:6" x14ac:dyDescent="0.35">
      <c r="A206" s="1">
        <v>45391</v>
      </c>
      <c r="B206" s="2">
        <v>68.67</v>
      </c>
      <c r="C206">
        <v>2997865</v>
      </c>
      <c r="D206" s="2">
        <v>66.2</v>
      </c>
      <c r="E206" s="2">
        <v>68.72</v>
      </c>
      <c r="F206" s="2">
        <v>65.58</v>
      </c>
    </row>
    <row r="207" spans="1:6" x14ac:dyDescent="0.35">
      <c r="A207" s="1">
        <v>45390</v>
      </c>
      <c r="B207" s="2">
        <v>66.099999999999994</v>
      </c>
      <c r="C207">
        <v>2680125</v>
      </c>
      <c r="D207" s="2">
        <v>65.66</v>
      </c>
      <c r="E207" s="2">
        <v>67.319999999999993</v>
      </c>
      <c r="F207" s="2">
        <v>65.25</v>
      </c>
    </row>
    <row r="208" spans="1:6" x14ac:dyDescent="0.35">
      <c r="A208" s="1">
        <v>45387</v>
      </c>
      <c r="B208" s="2">
        <v>64.98</v>
      </c>
      <c r="C208">
        <v>2596026</v>
      </c>
      <c r="D208" s="2">
        <v>64.89</v>
      </c>
      <c r="E208" s="2">
        <v>65.5</v>
      </c>
      <c r="F208" s="2">
        <v>64.432100000000005</v>
      </c>
    </row>
    <row r="209" spans="1:6" x14ac:dyDescent="0.35">
      <c r="A209" s="1">
        <v>45386</v>
      </c>
      <c r="B209" s="2">
        <v>65.56</v>
      </c>
      <c r="C209">
        <v>3890609</v>
      </c>
      <c r="D209" s="2">
        <v>66.239999999999995</v>
      </c>
      <c r="E209" s="2">
        <v>68.37</v>
      </c>
      <c r="F209" s="2">
        <v>65.404499999999999</v>
      </c>
    </row>
    <row r="210" spans="1:6" x14ac:dyDescent="0.35">
      <c r="A210" s="1">
        <v>45385</v>
      </c>
      <c r="B210" s="2">
        <v>65.150000000000006</v>
      </c>
      <c r="C210">
        <v>2420474</v>
      </c>
      <c r="D210" s="2">
        <v>64.680000000000007</v>
      </c>
      <c r="E210" s="2">
        <v>65.86</v>
      </c>
      <c r="F210" s="2">
        <v>64.39</v>
      </c>
    </row>
    <row r="211" spans="1:6" x14ac:dyDescent="0.35">
      <c r="A211" s="1">
        <v>45384</v>
      </c>
      <c r="B211" s="2">
        <v>65.180000000000007</v>
      </c>
      <c r="C211">
        <v>2615711</v>
      </c>
      <c r="D211" s="2">
        <v>64.900000000000006</v>
      </c>
      <c r="E211" s="2">
        <v>65.45</v>
      </c>
      <c r="F211" s="2">
        <v>64.38</v>
      </c>
    </row>
    <row r="212" spans="1:6" x14ac:dyDescent="0.35">
      <c r="A212" s="1">
        <v>45383</v>
      </c>
      <c r="B212" s="2">
        <v>65.900000000000006</v>
      </c>
      <c r="C212">
        <v>2957372</v>
      </c>
      <c r="D212" s="2">
        <v>68.11</v>
      </c>
      <c r="E212" s="2">
        <v>68.7</v>
      </c>
      <c r="F212" s="2">
        <v>65.260000000000005</v>
      </c>
    </row>
    <row r="213" spans="1:6" x14ac:dyDescent="0.35">
      <c r="A213" s="1">
        <v>45379</v>
      </c>
      <c r="B213" s="2">
        <v>68.72</v>
      </c>
      <c r="C213">
        <v>2244383</v>
      </c>
      <c r="D213" s="2">
        <v>68.209999999999994</v>
      </c>
      <c r="E213" s="2">
        <v>69.644999999999996</v>
      </c>
      <c r="F213" s="2">
        <v>67.790000000000006</v>
      </c>
    </row>
    <row r="214" spans="1:6" x14ac:dyDescent="0.35">
      <c r="A214" s="1">
        <v>45378</v>
      </c>
      <c r="B214" s="2">
        <v>67.989999999999995</v>
      </c>
      <c r="C214">
        <v>2387982</v>
      </c>
      <c r="D214" s="2">
        <v>66.56</v>
      </c>
      <c r="E214" s="2">
        <v>68.13</v>
      </c>
      <c r="F214" s="2">
        <v>66.17</v>
      </c>
    </row>
    <row r="215" spans="1:6" x14ac:dyDescent="0.35">
      <c r="A215" s="1">
        <v>45377</v>
      </c>
      <c r="B215" s="2">
        <v>65.8</v>
      </c>
      <c r="C215">
        <v>1868080</v>
      </c>
      <c r="D215" s="2">
        <v>66.25</v>
      </c>
      <c r="E215" s="2">
        <v>66.900000000000006</v>
      </c>
      <c r="F215" s="2">
        <v>65.674999999999997</v>
      </c>
    </row>
    <row r="216" spans="1:6" x14ac:dyDescent="0.35">
      <c r="A216" s="1">
        <v>45376</v>
      </c>
      <c r="B216" s="2">
        <v>65.75</v>
      </c>
      <c r="C216">
        <v>2702475</v>
      </c>
      <c r="D216" s="2">
        <v>67.88</v>
      </c>
      <c r="E216" s="2">
        <v>68.06</v>
      </c>
      <c r="F216" s="2">
        <v>65.69</v>
      </c>
    </row>
    <row r="217" spans="1:6" x14ac:dyDescent="0.35">
      <c r="A217" s="1">
        <v>45373</v>
      </c>
      <c r="B217" s="2">
        <v>67.819999999999993</v>
      </c>
      <c r="C217">
        <v>1799718</v>
      </c>
      <c r="D217" s="2">
        <v>67.63</v>
      </c>
      <c r="E217" s="2">
        <v>68.81</v>
      </c>
      <c r="F217" s="2">
        <v>67.495000000000005</v>
      </c>
    </row>
    <row r="218" spans="1:6" x14ac:dyDescent="0.35">
      <c r="A218" s="1">
        <v>45372</v>
      </c>
      <c r="B218" s="2">
        <v>68.11</v>
      </c>
      <c r="C218">
        <v>2762959</v>
      </c>
      <c r="D218" s="2">
        <v>69.13</v>
      </c>
      <c r="E218" s="2">
        <v>70.17</v>
      </c>
      <c r="F218" s="2">
        <v>67.62</v>
      </c>
    </row>
    <row r="219" spans="1:6" x14ac:dyDescent="0.35">
      <c r="A219" s="1">
        <v>45371</v>
      </c>
      <c r="B219" s="2">
        <v>68.510000000000005</v>
      </c>
      <c r="C219">
        <v>4486692</v>
      </c>
      <c r="D219" s="2">
        <v>66.13</v>
      </c>
      <c r="E219" s="2">
        <v>69.23</v>
      </c>
      <c r="F219" s="2">
        <v>66.03</v>
      </c>
    </row>
    <row r="220" spans="1:6" x14ac:dyDescent="0.35">
      <c r="A220" s="1">
        <v>45370</v>
      </c>
      <c r="B220" s="2">
        <v>66.84</v>
      </c>
      <c r="C220">
        <v>4947048</v>
      </c>
      <c r="D220" s="2">
        <v>68.489999999999995</v>
      </c>
      <c r="E220" s="2">
        <v>71.5</v>
      </c>
      <c r="F220" s="2">
        <v>66.610399999999998</v>
      </c>
    </row>
    <row r="221" spans="1:6" x14ac:dyDescent="0.35">
      <c r="A221" s="1">
        <v>45369</v>
      </c>
      <c r="B221" s="2">
        <v>66.069999999999993</v>
      </c>
      <c r="C221">
        <v>2623115</v>
      </c>
      <c r="D221" s="2">
        <v>66.64</v>
      </c>
      <c r="E221" s="2">
        <v>67.45</v>
      </c>
      <c r="F221" s="2">
        <v>65.97</v>
      </c>
    </row>
    <row r="222" spans="1:6" x14ac:dyDescent="0.35">
      <c r="A222" s="1">
        <v>45366</v>
      </c>
      <c r="B222" s="2">
        <v>66.260000000000005</v>
      </c>
      <c r="C222">
        <v>7880362</v>
      </c>
      <c r="D222" s="2">
        <v>67</v>
      </c>
      <c r="E222" s="2">
        <v>67.948099999999997</v>
      </c>
      <c r="F222" s="2">
        <v>65.88</v>
      </c>
    </row>
    <row r="223" spans="1:6" x14ac:dyDescent="0.35">
      <c r="A223" s="1">
        <v>45365</v>
      </c>
      <c r="B223" s="2">
        <v>67.42</v>
      </c>
      <c r="C223">
        <v>4325498</v>
      </c>
      <c r="D223" s="2">
        <v>69.89</v>
      </c>
      <c r="E223" s="2">
        <v>69.89</v>
      </c>
      <c r="F223" s="2">
        <v>67.150000000000006</v>
      </c>
    </row>
    <row r="224" spans="1:6" x14ac:dyDescent="0.35">
      <c r="A224" s="1">
        <v>45364</v>
      </c>
      <c r="B224" s="2">
        <v>69.760000000000005</v>
      </c>
      <c r="C224">
        <v>2790721</v>
      </c>
      <c r="D224" s="2">
        <v>71.28</v>
      </c>
      <c r="E224" s="2">
        <v>72.050600000000003</v>
      </c>
      <c r="F224" s="2">
        <v>69.489999999999995</v>
      </c>
    </row>
    <row r="225" spans="1:6" x14ac:dyDescent="0.35">
      <c r="A225" s="1">
        <v>45363</v>
      </c>
      <c r="B225" s="2">
        <v>71.42</v>
      </c>
      <c r="C225">
        <v>2663826</v>
      </c>
      <c r="D225" s="2">
        <v>72.89</v>
      </c>
      <c r="E225" s="2">
        <v>73.25</v>
      </c>
      <c r="F225" s="2">
        <v>70.78</v>
      </c>
    </row>
    <row r="226" spans="1:6" x14ac:dyDescent="0.35">
      <c r="A226" s="1">
        <v>45362</v>
      </c>
      <c r="B226" s="2">
        <v>72.92</v>
      </c>
      <c r="C226">
        <v>3348899</v>
      </c>
      <c r="D226" s="2">
        <v>71.62</v>
      </c>
      <c r="E226" s="2">
        <v>73.48</v>
      </c>
      <c r="F226" s="2">
        <v>71.349999999999994</v>
      </c>
    </row>
    <row r="227" spans="1:6" x14ac:dyDescent="0.35">
      <c r="A227" s="1">
        <v>45359</v>
      </c>
      <c r="B227" s="2">
        <v>72.31</v>
      </c>
      <c r="C227">
        <v>5711406</v>
      </c>
      <c r="D227" s="2">
        <v>68.704999999999998</v>
      </c>
      <c r="E227" s="2">
        <v>72.965000000000003</v>
      </c>
      <c r="F227" s="2">
        <v>68.62</v>
      </c>
    </row>
    <row r="228" spans="1:6" x14ac:dyDescent="0.35">
      <c r="A228" s="1">
        <v>45358</v>
      </c>
      <c r="B228" s="2">
        <v>68.400000000000006</v>
      </c>
      <c r="C228">
        <v>2632607</v>
      </c>
      <c r="D228" s="2">
        <v>68.95</v>
      </c>
      <c r="E228" s="2">
        <v>69.73</v>
      </c>
      <c r="F228" s="2">
        <v>68.22</v>
      </c>
    </row>
    <row r="229" spans="1:6" x14ac:dyDescent="0.35">
      <c r="A229" s="1">
        <v>45357</v>
      </c>
      <c r="B229" s="2">
        <v>68.61</v>
      </c>
      <c r="C229">
        <v>2759531</v>
      </c>
      <c r="D229" s="2">
        <v>69.650000000000006</v>
      </c>
      <c r="E229" s="2">
        <v>69.930000000000007</v>
      </c>
      <c r="F229" s="2">
        <v>68.28</v>
      </c>
    </row>
    <row r="230" spans="1:6" x14ac:dyDescent="0.35">
      <c r="A230" s="1">
        <v>45356</v>
      </c>
      <c r="B230" s="2">
        <v>68.55</v>
      </c>
      <c r="C230">
        <v>4374684</v>
      </c>
      <c r="D230" s="2">
        <v>67.400000000000006</v>
      </c>
      <c r="E230" s="2">
        <v>69.72</v>
      </c>
      <c r="F230" s="2">
        <v>66.87</v>
      </c>
    </row>
    <row r="231" spans="1:6" x14ac:dyDescent="0.35">
      <c r="A231" s="1">
        <v>45355</v>
      </c>
      <c r="B231" s="2">
        <v>67.709999999999994</v>
      </c>
      <c r="C231">
        <v>3566308</v>
      </c>
      <c r="D231" s="2">
        <v>69.650000000000006</v>
      </c>
      <c r="E231" s="2">
        <v>69.989999999999995</v>
      </c>
      <c r="F231" s="2">
        <v>67.67</v>
      </c>
    </row>
    <row r="232" spans="1:6" x14ac:dyDescent="0.35">
      <c r="A232" s="1">
        <v>45352</v>
      </c>
      <c r="B232" s="2">
        <v>69.81</v>
      </c>
      <c r="C232">
        <v>2883248</v>
      </c>
      <c r="D232" s="2">
        <v>71.44</v>
      </c>
      <c r="E232" s="2">
        <v>71.686000000000007</v>
      </c>
      <c r="F232" s="2">
        <v>69.69</v>
      </c>
    </row>
    <row r="233" spans="1:6" x14ac:dyDescent="0.35">
      <c r="A233" s="1">
        <v>45351</v>
      </c>
      <c r="B233" s="2">
        <v>71.69</v>
      </c>
      <c r="C233">
        <v>3012744</v>
      </c>
      <c r="D233" s="2">
        <v>70.989999999999995</v>
      </c>
      <c r="E233" s="2">
        <v>72.44</v>
      </c>
      <c r="F233" s="2">
        <v>70.375799999999998</v>
      </c>
    </row>
    <row r="234" spans="1:6" x14ac:dyDescent="0.35">
      <c r="A234" s="1">
        <v>45350</v>
      </c>
      <c r="B234" s="2">
        <v>71</v>
      </c>
      <c r="C234">
        <v>2063292</v>
      </c>
      <c r="D234" s="2">
        <v>71.8</v>
      </c>
      <c r="E234" s="2">
        <v>72.674999999999997</v>
      </c>
      <c r="F234" s="2">
        <v>70.69</v>
      </c>
    </row>
    <row r="235" spans="1:6" x14ac:dyDescent="0.35">
      <c r="A235" s="1">
        <v>45349</v>
      </c>
      <c r="B235" s="2">
        <v>72.08</v>
      </c>
      <c r="C235">
        <v>4150814</v>
      </c>
      <c r="D235" s="2">
        <v>72.47</v>
      </c>
      <c r="E235" s="2">
        <v>72.87</v>
      </c>
      <c r="F235" s="2">
        <v>71.099999999999994</v>
      </c>
    </row>
    <row r="236" spans="1:6" x14ac:dyDescent="0.35">
      <c r="A236" s="1">
        <v>45348</v>
      </c>
      <c r="B236" s="2">
        <v>71.959999999999994</v>
      </c>
      <c r="C236">
        <v>4260217</v>
      </c>
      <c r="D236" s="2">
        <v>73.98</v>
      </c>
      <c r="E236" s="2">
        <v>74.459999999999994</v>
      </c>
      <c r="F236" s="2">
        <v>71.91</v>
      </c>
    </row>
    <row r="237" spans="1:6" x14ac:dyDescent="0.35">
      <c r="A237" s="1">
        <v>45345</v>
      </c>
      <c r="B237" s="2">
        <v>73.98</v>
      </c>
      <c r="C237">
        <v>7996144</v>
      </c>
      <c r="D237" s="2">
        <v>70.5</v>
      </c>
      <c r="E237" s="2">
        <v>74.819999999999993</v>
      </c>
      <c r="F237" s="2">
        <v>69.459999999999994</v>
      </c>
    </row>
    <row r="238" spans="1:6" x14ac:dyDescent="0.35">
      <c r="A238" s="1">
        <v>45344</v>
      </c>
      <c r="B238" s="2">
        <v>70.62</v>
      </c>
      <c r="C238">
        <v>10556450</v>
      </c>
      <c r="D238" s="2">
        <v>73.47</v>
      </c>
      <c r="E238" s="2">
        <v>73.489999999999995</v>
      </c>
      <c r="F238" s="2">
        <v>69.89</v>
      </c>
    </row>
    <row r="239" spans="1:6" x14ac:dyDescent="0.35">
      <c r="A239" s="1">
        <v>45343</v>
      </c>
      <c r="B239" s="2">
        <v>77.13</v>
      </c>
      <c r="C239">
        <v>6424550</v>
      </c>
      <c r="D239" s="2">
        <v>74.5</v>
      </c>
      <c r="E239" s="2">
        <v>78.650000000000006</v>
      </c>
      <c r="F239" s="2">
        <v>74.040000000000006</v>
      </c>
    </row>
    <row r="240" spans="1:6" x14ac:dyDescent="0.35">
      <c r="A240" s="1">
        <v>45342</v>
      </c>
      <c r="B240" s="2">
        <v>75.87</v>
      </c>
      <c r="C240">
        <v>5065841</v>
      </c>
      <c r="D240" s="2">
        <v>75.27</v>
      </c>
      <c r="E240" s="2">
        <v>76.77</v>
      </c>
      <c r="F240" s="2">
        <v>74.75</v>
      </c>
    </row>
    <row r="241" spans="1:6" x14ac:dyDescent="0.35">
      <c r="A241" s="1">
        <v>45338</v>
      </c>
      <c r="B241" s="2">
        <v>76.569999999999993</v>
      </c>
      <c r="C241">
        <v>2381456</v>
      </c>
      <c r="D241" s="2">
        <v>76.62</v>
      </c>
      <c r="E241" s="2">
        <v>77.58</v>
      </c>
      <c r="F241" s="2">
        <v>75.5</v>
      </c>
    </row>
    <row r="242" spans="1:6" x14ac:dyDescent="0.35">
      <c r="A242" s="1">
        <v>45337</v>
      </c>
      <c r="B242" s="2">
        <v>77.760000000000005</v>
      </c>
      <c r="C242">
        <v>2210302</v>
      </c>
      <c r="D242" s="2">
        <v>77.48</v>
      </c>
      <c r="E242" s="2">
        <v>78.069999999999993</v>
      </c>
      <c r="F242" s="2">
        <v>76.42</v>
      </c>
    </row>
    <row r="243" spans="1:6" x14ac:dyDescent="0.35">
      <c r="A243" s="1">
        <v>45336</v>
      </c>
      <c r="B243" s="2">
        <v>76.19</v>
      </c>
      <c r="C243">
        <v>2605231</v>
      </c>
      <c r="D243" s="2">
        <v>75.38</v>
      </c>
      <c r="E243" s="2">
        <v>76.349999999999994</v>
      </c>
      <c r="F243" s="2">
        <v>74.22</v>
      </c>
    </row>
    <row r="244" spans="1:6" x14ac:dyDescent="0.35">
      <c r="A244" s="1">
        <v>45335</v>
      </c>
      <c r="B244" s="2">
        <v>74.39</v>
      </c>
      <c r="C244">
        <v>4247375</v>
      </c>
      <c r="D244" s="2">
        <v>74.56</v>
      </c>
      <c r="E244" s="2">
        <v>75.900000000000006</v>
      </c>
      <c r="F244" s="2">
        <v>73.02</v>
      </c>
    </row>
    <row r="245" spans="1:6" x14ac:dyDescent="0.35">
      <c r="A245" s="1">
        <v>45334</v>
      </c>
      <c r="B245" s="2">
        <v>78.849999999999994</v>
      </c>
      <c r="C245">
        <v>3548081</v>
      </c>
      <c r="D245" s="2">
        <v>78.209999999999994</v>
      </c>
      <c r="E245" s="2">
        <v>80.3</v>
      </c>
      <c r="F245" s="2">
        <v>77.31</v>
      </c>
    </row>
    <row r="246" spans="1:6" x14ac:dyDescent="0.35">
      <c r="A246" s="1">
        <v>45331</v>
      </c>
      <c r="B246" s="2">
        <v>78.09</v>
      </c>
      <c r="C246">
        <v>4243977</v>
      </c>
      <c r="D246" s="2">
        <v>73.72</v>
      </c>
      <c r="E246" s="2">
        <v>78.78</v>
      </c>
      <c r="F246" s="2">
        <v>73.560100000000006</v>
      </c>
    </row>
    <row r="247" spans="1:6" x14ac:dyDescent="0.35">
      <c r="A247" s="1">
        <v>45330</v>
      </c>
      <c r="B247" s="2">
        <v>74.489999999999995</v>
      </c>
      <c r="C247">
        <v>2099751</v>
      </c>
      <c r="D247" s="2">
        <v>73.099999999999994</v>
      </c>
      <c r="E247" s="2">
        <v>74.685000000000002</v>
      </c>
      <c r="F247" s="2">
        <v>72.930000000000007</v>
      </c>
    </row>
    <row r="248" spans="1:6" x14ac:dyDescent="0.35">
      <c r="A248" s="1">
        <v>45329</v>
      </c>
      <c r="B248" s="2">
        <v>73.260000000000005</v>
      </c>
      <c r="C248">
        <v>2418912</v>
      </c>
      <c r="D248" s="2">
        <v>74.599999999999994</v>
      </c>
      <c r="E248" s="2">
        <v>74.776799999999994</v>
      </c>
      <c r="F248" s="2">
        <v>72.641900000000007</v>
      </c>
    </row>
    <row r="249" spans="1:6" x14ac:dyDescent="0.35">
      <c r="A249" s="1">
        <v>45328</v>
      </c>
      <c r="B249" s="2">
        <v>74.849999999999994</v>
      </c>
      <c r="C249">
        <v>2295250</v>
      </c>
      <c r="D249" s="2">
        <v>74.61</v>
      </c>
      <c r="E249" s="2">
        <v>75.17</v>
      </c>
      <c r="F249" s="2">
        <v>73.27</v>
      </c>
    </row>
    <row r="250" spans="1:6" x14ac:dyDescent="0.35">
      <c r="A250" s="1">
        <v>45327</v>
      </c>
      <c r="B250" s="2">
        <v>74.819999999999993</v>
      </c>
      <c r="C250">
        <v>3190261</v>
      </c>
      <c r="D250" s="2">
        <v>74.83</v>
      </c>
      <c r="E250" s="2">
        <v>76.135000000000005</v>
      </c>
      <c r="F250" s="2">
        <v>72.864999999999995</v>
      </c>
    </row>
    <row r="251" spans="1:6" x14ac:dyDescent="0.35">
      <c r="A251" s="1">
        <v>45324</v>
      </c>
      <c r="B251" s="2">
        <v>75.7</v>
      </c>
      <c r="C251">
        <v>7350844</v>
      </c>
      <c r="D251" s="2">
        <v>72.22</v>
      </c>
      <c r="E251" s="2">
        <v>76.67</v>
      </c>
      <c r="F251" s="2">
        <v>70.88</v>
      </c>
    </row>
    <row r="252" spans="1:6" x14ac:dyDescent="0.35">
      <c r="A252" s="1">
        <v>45323</v>
      </c>
      <c r="B252" s="2">
        <v>72.62</v>
      </c>
      <c r="C252">
        <v>13694230</v>
      </c>
      <c r="D252" s="2">
        <v>73</v>
      </c>
      <c r="E252" s="2">
        <v>76</v>
      </c>
      <c r="F252" s="2">
        <v>71.38</v>
      </c>
    </row>
    <row r="253" spans="1:6" x14ac:dyDescent="0.35">
      <c r="A253" s="1">
        <v>45322</v>
      </c>
      <c r="B253" s="2">
        <v>66.56</v>
      </c>
      <c r="C253">
        <v>2815742</v>
      </c>
      <c r="D253" s="2">
        <v>69.3</v>
      </c>
      <c r="E253" s="2">
        <v>69.37</v>
      </c>
      <c r="F253" s="2">
        <v>66.33</v>
      </c>
    </row>
    <row r="254" spans="1:6" x14ac:dyDescent="0.35">
      <c r="A254" s="1">
        <v>45321</v>
      </c>
      <c r="B254" s="2">
        <v>69.72</v>
      </c>
      <c r="C254">
        <v>1850900</v>
      </c>
      <c r="D254" s="2">
        <v>70.34</v>
      </c>
      <c r="E254" s="2">
        <v>71.38</v>
      </c>
      <c r="F254" s="2">
        <v>69.33</v>
      </c>
    </row>
    <row r="255" spans="1:6" x14ac:dyDescent="0.35">
      <c r="A255" s="1">
        <v>45320</v>
      </c>
      <c r="B255" s="2">
        <v>70.819999999999993</v>
      </c>
      <c r="C255">
        <v>3054722</v>
      </c>
      <c r="D255" s="2">
        <v>69.62</v>
      </c>
      <c r="E255" s="2">
        <v>71.790000000000006</v>
      </c>
      <c r="F255" s="2">
        <v>68.34</v>
      </c>
    </row>
    <row r="256" spans="1:6" x14ac:dyDescent="0.35">
      <c r="A256" s="1">
        <v>45317</v>
      </c>
      <c r="B256" s="2">
        <v>69.53</v>
      </c>
      <c r="C256">
        <v>3459813</v>
      </c>
      <c r="D256" s="2">
        <v>69.91</v>
      </c>
      <c r="E256" s="2">
        <v>70.44</v>
      </c>
      <c r="F256" s="2">
        <v>68.88</v>
      </c>
    </row>
    <row r="257" spans="1:6" x14ac:dyDescent="0.35">
      <c r="A257" s="1">
        <v>45316</v>
      </c>
      <c r="B257" s="2">
        <v>69.56</v>
      </c>
      <c r="C257">
        <v>2599562</v>
      </c>
      <c r="D257" s="2">
        <v>68.84</v>
      </c>
      <c r="E257" s="2">
        <v>69.58</v>
      </c>
      <c r="F257" s="2">
        <v>66.944999999999993</v>
      </c>
    </row>
    <row r="258" spans="1:6" x14ac:dyDescent="0.35">
      <c r="A258" s="1">
        <v>45315</v>
      </c>
      <c r="B258" s="2">
        <v>68.319999999999993</v>
      </c>
      <c r="C258">
        <v>2786072</v>
      </c>
      <c r="D258" s="2">
        <v>70.959999999999994</v>
      </c>
      <c r="E258" s="2">
        <v>71</v>
      </c>
      <c r="F258" s="2">
        <v>68.150000000000006</v>
      </c>
    </row>
    <row r="259" spans="1:6" x14ac:dyDescent="0.35">
      <c r="A259" s="1">
        <v>45314</v>
      </c>
      <c r="B259" s="2">
        <v>70.22</v>
      </c>
      <c r="C259">
        <v>1888763</v>
      </c>
      <c r="D259" s="2">
        <v>71.94</v>
      </c>
      <c r="E259" s="2">
        <v>72.229900000000001</v>
      </c>
      <c r="F259" s="2">
        <v>70.180000000000007</v>
      </c>
    </row>
    <row r="260" spans="1:6" x14ac:dyDescent="0.35">
      <c r="A260" s="1">
        <v>45313</v>
      </c>
      <c r="B260" s="2">
        <v>70.819999999999993</v>
      </c>
      <c r="C260">
        <v>3106468</v>
      </c>
      <c r="D260" s="2">
        <v>71</v>
      </c>
      <c r="E260" s="2">
        <v>73.349999999999994</v>
      </c>
      <c r="F260" s="2">
        <v>69.905000000000001</v>
      </c>
    </row>
    <row r="261" spans="1:6" x14ac:dyDescent="0.35">
      <c r="A261" s="1">
        <v>45310</v>
      </c>
      <c r="B261" s="2">
        <v>70.66</v>
      </c>
      <c r="C261">
        <v>3595240</v>
      </c>
      <c r="D261" s="2">
        <v>71</v>
      </c>
      <c r="E261" s="2">
        <v>71.84</v>
      </c>
      <c r="F261" s="2">
        <v>69.174999999999997</v>
      </c>
    </row>
    <row r="262" spans="1:6" x14ac:dyDescent="0.35">
      <c r="A262" s="1">
        <v>45309</v>
      </c>
      <c r="B262" s="2">
        <v>69.22</v>
      </c>
      <c r="C262">
        <v>4388975</v>
      </c>
      <c r="D262" s="2">
        <v>69.09</v>
      </c>
      <c r="E262" s="2">
        <v>70.614999999999995</v>
      </c>
      <c r="F262" s="2">
        <v>68.069999999999993</v>
      </c>
    </row>
    <row r="263" spans="1:6" x14ac:dyDescent="0.35">
      <c r="A263" s="1">
        <v>45308</v>
      </c>
      <c r="B263" s="2">
        <v>68.319999999999993</v>
      </c>
      <c r="C263">
        <v>4742416</v>
      </c>
      <c r="D263" s="2">
        <v>66.721999999999994</v>
      </c>
      <c r="E263" s="2">
        <v>68.37</v>
      </c>
      <c r="F263" s="2">
        <v>65.876000000000005</v>
      </c>
    </row>
    <row r="264" spans="1:6" x14ac:dyDescent="0.35">
      <c r="A264" s="1">
        <v>45307</v>
      </c>
      <c r="B264" s="2">
        <v>67.86</v>
      </c>
      <c r="C264">
        <v>8600251</v>
      </c>
      <c r="D264" s="2">
        <v>69.66</v>
      </c>
      <c r="E264" s="2">
        <v>70.14</v>
      </c>
      <c r="F264" s="2">
        <v>67.47</v>
      </c>
    </row>
    <row r="265" spans="1:6" x14ac:dyDescent="0.35">
      <c r="A265" s="1">
        <v>45303</v>
      </c>
      <c r="B265" s="2">
        <v>70.34</v>
      </c>
      <c r="C265">
        <v>3732822</v>
      </c>
      <c r="D265" s="2">
        <v>73.3</v>
      </c>
      <c r="E265" s="2">
        <v>73.36</v>
      </c>
      <c r="F265" s="2">
        <v>69.989999999999995</v>
      </c>
    </row>
    <row r="266" spans="1:6" x14ac:dyDescent="0.35">
      <c r="A266" s="1">
        <v>45302</v>
      </c>
      <c r="B266" s="2">
        <v>73.040000000000006</v>
      </c>
      <c r="C266">
        <v>4081081</v>
      </c>
      <c r="D266" s="2">
        <v>74.62</v>
      </c>
      <c r="E266" s="2">
        <v>74.72</v>
      </c>
      <c r="F266" s="2">
        <v>71.22</v>
      </c>
    </row>
    <row r="267" spans="1:6" x14ac:dyDescent="0.35">
      <c r="A267" s="1">
        <v>45301</v>
      </c>
      <c r="B267" s="2">
        <v>74.72</v>
      </c>
      <c r="C267">
        <v>3459444</v>
      </c>
      <c r="D267" s="2">
        <v>75.47</v>
      </c>
      <c r="E267" s="2">
        <v>76.09</v>
      </c>
      <c r="F267" s="2">
        <v>74.22</v>
      </c>
    </row>
    <row r="268" spans="1:6" x14ac:dyDescent="0.35">
      <c r="A268" s="1">
        <v>45300</v>
      </c>
      <c r="B268" s="2">
        <v>76.81</v>
      </c>
      <c r="C268">
        <v>3012852</v>
      </c>
      <c r="D268" s="2">
        <v>77</v>
      </c>
      <c r="E268" s="2">
        <v>78.19</v>
      </c>
      <c r="F268" s="2">
        <v>76.290000000000006</v>
      </c>
    </row>
    <row r="269" spans="1:6" x14ac:dyDescent="0.35">
      <c r="A269" s="1">
        <v>45299</v>
      </c>
      <c r="B269" s="2">
        <v>77.760000000000005</v>
      </c>
      <c r="C269">
        <v>3947187</v>
      </c>
      <c r="D269" s="2">
        <v>76</v>
      </c>
      <c r="E269" s="2">
        <v>78.13</v>
      </c>
      <c r="F269" s="2">
        <v>75.25</v>
      </c>
    </row>
    <row r="270" spans="1:6" x14ac:dyDescent="0.35">
      <c r="A270" s="1">
        <v>45296</v>
      </c>
      <c r="B270" s="2">
        <v>75.64</v>
      </c>
      <c r="C270">
        <v>3919926</v>
      </c>
      <c r="D270" s="2">
        <v>76</v>
      </c>
      <c r="E270" s="2">
        <v>76.971999999999994</v>
      </c>
      <c r="F270" s="2">
        <v>75.290000000000006</v>
      </c>
    </row>
    <row r="271" spans="1:6" x14ac:dyDescent="0.35">
      <c r="A271" s="1">
        <v>45295</v>
      </c>
      <c r="B271" s="2">
        <v>76.290000000000006</v>
      </c>
      <c r="C271">
        <v>5823236</v>
      </c>
      <c r="D271" s="2">
        <v>77.44</v>
      </c>
      <c r="E271" s="2">
        <v>77.745000000000005</v>
      </c>
      <c r="F271" s="2">
        <v>75.22</v>
      </c>
    </row>
    <row r="272" spans="1:6" x14ac:dyDescent="0.35">
      <c r="A272" s="1">
        <v>45294</v>
      </c>
      <c r="B272" s="2">
        <v>79.13</v>
      </c>
      <c r="C272">
        <v>6421742</v>
      </c>
      <c r="D272" s="2">
        <v>80</v>
      </c>
      <c r="E272" s="2">
        <v>80.065899999999999</v>
      </c>
      <c r="F272" s="2">
        <v>76.58</v>
      </c>
    </row>
    <row r="273" spans="1:6" x14ac:dyDescent="0.35">
      <c r="A273" s="1">
        <v>45293</v>
      </c>
      <c r="B273" s="2">
        <v>81.08</v>
      </c>
      <c r="C273">
        <v>3799438</v>
      </c>
      <c r="D273" s="2">
        <v>80.28</v>
      </c>
      <c r="E273" s="2">
        <v>82.84</v>
      </c>
      <c r="F273" s="2">
        <v>79.7</v>
      </c>
    </row>
    <row r="274" spans="1:6" x14ac:dyDescent="0.35">
      <c r="A274" s="1">
        <v>45289</v>
      </c>
      <c r="B274" s="2">
        <v>81.05</v>
      </c>
      <c r="C274">
        <v>2397080</v>
      </c>
      <c r="D274" s="2">
        <v>81.569999999999993</v>
      </c>
      <c r="E274" s="2">
        <v>82.6494</v>
      </c>
      <c r="F274" s="2">
        <v>80.72</v>
      </c>
    </row>
    <row r="275" spans="1:6" x14ac:dyDescent="0.35">
      <c r="A275" s="1">
        <v>45288</v>
      </c>
      <c r="B275" s="2">
        <v>81.92</v>
      </c>
      <c r="C275">
        <v>2121780</v>
      </c>
      <c r="D275" s="2">
        <v>81.75</v>
      </c>
      <c r="E275" s="2">
        <v>82.48</v>
      </c>
      <c r="F275" s="2">
        <v>80.560100000000006</v>
      </c>
    </row>
    <row r="276" spans="1:6" x14ac:dyDescent="0.35">
      <c r="A276" s="1">
        <v>45287</v>
      </c>
      <c r="B276" s="2">
        <v>82.39</v>
      </c>
      <c r="C276">
        <v>2324533</v>
      </c>
      <c r="D276" s="2">
        <v>82.59</v>
      </c>
      <c r="E276" s="2">
        <v>83.31</v>
      </c>
      <c r="F276" s="2">
        <v>80.970200000000006</v>
      </c>
    </row>
    <row r="277" spans="1:6" x14ac:dyDescent="0.35">
      <c r="A277" s="1">
        <v>45286</v>
      </c>
      <c r="B277" s="2">
        <v>82.59</v>
      </c>
      <c r="C277">
        <v>2356261</v>
      </c>
      <c r="D277" s="2">
        <v>85</v>
      </c>
      <c r="E277" s="2">
        <v>85.22</v>
      </c>
      <c r="F277" s="2">
        <v>82.44</v>
      </c>
    </row>
    <row r="278" spans="1:6" x14ac:dyDescent="0.35">
      <c r="A278" s="1">
        <v>45282</v>
      </c>
      <c r="B278" s="2">
        <v>84.95</v>
      </c>
      <c r="C278">
        <v>1908612</v>
      </c>
      <c r="D278" s="2">
        <v>84.98</v>
      </c>
      <c r="E278" s="2">
        <v>86.284999999999997</v>
      </c>
      <c r="F278" s="2">
        <v>84.78</v>
      </c>
    </row>
    <row r="279" spans="1:6" x14ac:dyDescent="0.35">
      <c r="A279" s="1">
        <v>45281</v>
      </c>
      <c r="B279" s="2">
        <v>85.24</v>
      </c>
      <c r="C279">
        <v>2663548</v>
      </c>
      <c r="D279" s="2">
        <v>85.18</v>
      </c>
      <c r="E279" s="2">
        <v>86.26</v>
      </c>
      <c r="F279" s="2">
        <v>83.87</v>
      </c>
    </row>
    <row r="280" spans="1:6" x14ac:dyDescent="0.35">
      <c r="A280" s="1">
        <v>45280</v>
      </c>
      <c r="B280" s="2">
        <v>83.59</v>
      </c>
      <c r="C280">
        <v>4466844</v>
      </c>
      <c r="D280" s="2">
        <v>87</v>
      </c>
      <c r="E280" s="2">
        <v>87.2</v>
      </c>
      <c r="F280" s="2">
        <v>83.38</v>
      </c>
    </row>
    <row r="281" spans="1:6" x14ac:dyDescent="0.35">
      <c r="A281" s="1">
        <v>45279</v>
      </c>
      <c r="B281" s="2">
        <v>87.03</v>
      </c>
      <c r="C281">
        <v>6162457</v>
      </c>
      <c r="D281" s="2">
        <v>85.09</v>
      </c>
      <c r="E281" s="2">
        <v>89.58</v>
      </c>
      <c r="F281" s="2">
        <v>84.91</v>
      </c>
    </row>
    <row r="282" spans="1:6" x14ac:dyDescent="0.35">
      <c r="A282" s="1">
        <v>45278</v>
      </c>
      <c r="B282" s="2">
        <v>84.46</v>
      </c>
      <c r="C282">
        <v>7656663</v>
      </c>
      <c r="D282" s="2">
        <v>80.84</v>
      </c>
      <c r="E282" s="2">
        <v>85.59</v>
      </c>
      <c r="F282" s="2">
        <v>80.84</v>
      </c>
    </row>
    <row r="283" spans="1:6" x14ac:dyDescent="0.35">
      <c r="A283" s="1">
        <v>45275</v>
      </c>
      <c r="B283" s="2">
        <v>80.680000000000007</v>
      </c>
      <c r="C283">
        <v>10176650</v>
      </c>
      <c r="D283" s="2">
        <v>84.38</v>
      </c>
      <c r="E283" s="2">
        <v>85.6</v>
      </c>
      <c r="F283" s="2">
        <v>80.09</v>
      </c>
    </row>
    <row r="284" spans="1:6" x14ac:dyDescent="0.35">
      <c r="A284" s="1">
        <v>45274</v>
      </c>
      <c r="B284" s="2">
        <v>83.26</v>
      </c>
      <c r="C284">
        <v>6851620</v>
      </c>
      <c r="D284" s="2">
        <v>85</v>
      </c>
      <c r="E284" s="2">
        <v>85.3</v>
      </c>
      <c r="F284" s="2">
        <v>80.977999999999994</v>
      </c>
    </row>
    <row r="285" spans="1:6" x14ac:dyDescent="0.35">
      <c r="A285" s="1">
        <v>45273</v>
      </c>
      <c r="B285" s="2">
        <v>83.97</v>
      </c>
      <c r="C285">
        <v>13576330</v>
      </c>
      <c r="D285" s="2">
        <v>86.02</v>
      </c>
      <c r="E285" s="2">
        <v>86.93</v>
      </c>
      <c r="F285" s="2">
        <v>78.534999999999997</v>
      </c>
    </row>
    <row r="286" spans="1:6" x14ac:dyDescent="0.35">
      <c r="A286" s="1">
        <v>45272</v>
      </c>
      <c r="B286" s="2">
        <v>85.82</v>
      </c>
      <c r="C286">
        <v>3636106</v>
      </c>
      <c r="D286" s="2">
        <v>84.3</v>
      </c>
      <c r="E286" s="2">
        <v>86.55</v>
      </c>
      <c r="F286" s="2">
        <v>84.05</v>
      </c>
    </row>
    <row r="287" spans="1:6" x14ac:dyDescent="0.35">
      <c r="A287" s="1">
        <v>45271</v>
      </c>
      <c r="B287" s="2">
        <v>84.69</v>
      </c>
      <c r="C287">
        <v>6825706</v>
      </c>
      <c r="D287" s="2">
        <v>79.569999999999993</v>
      </c>
      <c r="E287" s="2">
        <v>86.1</v>
      </c>
      <c r="F287" s="2">
        <v>79.569999999999993</v>
      </c>
    </row>
    <row r="288" spans="1:6" x14ac:dyDescent="0.35">
      <c r="A288" s="1">
        <v>45268</v>
      </c>
      <c r="B288" s="2">
        <v>80.08</v>
      </c>
      <c r="C288">
        <v>4548232</v>
      </c>
      <c r="D288" s="2">
        <v>78.97</v>
      </c>
      <c r="E288" s="2">
        <v>81.239999999999995</v>
      </c>
      <c r="F288" s="2">
        <v>78.91</v>
      </c>
    </row>
    <row r="289" spans="1:6" x14ac:dyDescent="0.35">
      <c r="A289" s="1">
        <v>45267</v>
      </c>
      <c r="B289" s="2">
        <v>78.97</v>
      </c>
      <c r="C289">
        <v>3120206</v>
      </c>
      <c r="D289" s="2">
        <v>79.28</v>
      </c>
      <c r="E289" s="2">
        <v>80.47</v>
      </c>
      <c r="F289" s="2">
        <v>78.349999999999994</v>
      </c>
    </row>
    <row r="290" spans="1:6" x14ac:dyDescent="0.35">
      <c r="A290" s="1">
        <v>45266</v>
      </c>
      <c r="B290" s="2">
        <v>79.540000000000006</v>
      </c>
      <c r="C290">
        <v>3763532</v>
      </c>
      <c r="D290" s="2">
        <v>82.03</v>
      </c>
      <c r="E290" s="2">
        <v>82.5</v>
      </c>
      <c r="F290" s="2">
        <v>79.38</v>
      </c>
    </row>
    <row r="291" spans="1:6" x14ac:dyDescent="0.35">
      <c r="A291" s="1">
        <v>45265</v>
      </c>
      <c r="B291" s="2">
        <v>81.66</v>
      </c>
      <c r="C291">
        <v>3372316</v>
      </c>
      <c r="D291" s="2">
        <v>82.35</v>
      </c>
      <c r="E291" s="2">
        <v>83.729900000000001</v>
      </c>
      <c r="F291" s="2">
        <v>81.61</v>
      </c>
    </row>
    <row r="292" spans="1:6" x14ac:dyDescent="0.35">
      <c r="A292" s="1">
        <v>45264</v>
      </c>
      <c r="B292" s="2">
        <v>82.99</v>
      </c>
      <c r="C292">
        <v>5973029</v>
      </c>
      <c r="D292" s="2">
        <v>82</v>
      </c>
      <c r="E292" s="2">
        <v>84.75</v>
      </c>
      <c r="F292" s="2">
        <v>81.8</v>
      </c>
    </row>
    <row r="293" spans="1:6" x14ac:dyDescent="0.35">
      <c r="A293" s="1">
        <v>45261</v>
      </c>
      <c r="B293" s="2">
        <v>82.04</v>
      </c>
      <c r="C293">
        <v>5830222</v>
      </c>
      <c r="D293" s="2">
        <v>76.53</v>
      </c>
      <c r="E293" s="2">
        <v>82.322800000000001</v>
      </c>
      <c r="F293" s="2">
        <v>75.430000000000007</v>
      </c>
    </row>
    <row r="294" spans="1:6" x14ac:dyDescent="0.35">
      <c r="A294" s="1">
        <v>45260</v>
      </c>
      <c r="B294" s="2">
        <v>75.81</v>
      </c>
      <c r="C294">
        <v>4511426</v>
      </c>
      <c r="D294" s="2">
        <v>77.78</v>
      </c>
      <c r="E294" s="2">
        <v>78</v>
      </c>
      <c r="F294" s="2">
        <v>75.010000000000005</v>
      </c>
    </row>
    <row r="295" spans="1:6" x14ac:dyDescent="0.35">
      <c r="A295" s="1">
        <v>45259</v>
      </c>
      <c r="B295" s="2">
        <v>77.2</v>
      </c>
      <c r="C295">
        <v>4873891</v>
      </c>
      <c r="D295" s="2">
        <v>76.41</v>
      </c>
      <c r="E295" s="2">
        <v>78.58</v>
      </c>
      <c r="F295" s="2">
        <v>76.290000000000006</v>
      </c>
    </row>
    <row r="296" spans="1:6" x14ac:dyDescent="0.35">
      <c r="A296" s="1">
        <v>45258</v>
      </c>
      <c r="B296" s="2">
        <v>75.27</v>
      </c>
      <c r="C296">
        <v>4427004</v>
      </c>
      <c r="D296" s="2">
        <v>73.7</v>
      </c>
      <c r="E296" s="2">
        <v>75.47</v>
      </c>
      <c r="F296" s="2">
        <v>72.489999999999995</v>
      </c>
    </row>
    <row r="297" spans="1:6" x14ac:dyDescent="0.35">
      <c r="A297" s="1">
        <v>45257</v>
      </c>
      <c r="B297" s="2">
        <v>73.95</v>
      </c>
      <c r="C297">
        <v>5023856</v>
      </c>
      <c r="D297" s="2">
        <v>72.349999999999994</v>
      </c>
      <c r="E297" s="2">
        <v>75.400099999999995</v>
      </c>
      <c r="F297" s="2">
        <v>72.100099999999998</v>
      </c>
    </row>
    <row r="298" spans="1:6" x14ac:dyDescent="0.35">
      <c r="A298" s="1">
        <v>45254</v>
      </c>
      <c r="B298" s="2">
        <v>71.819999999999993</v>
      </c>
      <c r="C298">
        <v>889021</v>
      </c>
      <c r="D298" s="2">
        <v>70.94</v>
      </c>
      <c r="E298" s="2">
        <v>72.02</v>
      </c>
      <c r="F298" s="2">
        <v>70.650000000000006</v>
      </c>
    </row>
    <row r="299" spans="1:6" x14ac:dyDescent="0.35">
      <c r="A299" s="1">
        <v>45252</v>
      </c>
      <c r="B299" s="2">
        <v>71.48</v>
      </c>
      <c r="C299">
        <v>1898955</v>
      </c>
      <c r="D299" s="2">
        <v>70.91</v>
      </c>
      <c r="E299" s="2">
        <v>72.05</v>
      </c>
      <c r="F299" s="2">
        <v>70.7</v>
      </c>
    </row>
    <row r="300" spans="1:6" x14ac:dyDescent="0.35">
      <c r="A300" s="1">
        <v>45251</v>
      </c>
      <c r="B300" s="2">
        <v>70.59</v>
      </c>
      <c r="C300">
        <v>2580842</v>
      </c>
      <c r="D300" s="2">
        <v>71.19</v>
      </c>
      <c r="E300" s="2">
        <v>71.25</v>
      </c>
      <c r="F300" s="2">
        <v>69.569999999999993</v>
      </c>
    </row>
    <row r="301" spans="1:6" x14ac:dyDescent="0.35">
      <c r="A301" s="1">
        <v>45250</v>
      </c>
      <c r="B301" s="2">
        <v>72.069999999999993</v>
      </c>
      <c r="C301">
        <v>3386981</v>
      </c>
      <c r="D301" s="2">
        <v>72.209999999999994</v>
      </c>
      <c r="E301" s="2">
        <v>73.73</v>
      </c>
      <c r="F301" s="2">
        <v>70.760000000000005</v>
      </c>
    </row>
    <row r="302" spans="1:6" x14ac:dyDescent="0.35">
      <c r="A302" s="1">
        <v>45247</v>
      </c>
      <c r="B302" s="2">
        <v>72.53</v>
      </c>
      <c r="C302">
        <v>3818988</v>
      </c>
      <c r="D302" s="2">
        <v>71.2</v>
      </c>
      <c r="E302" s="2">
        <v>73</v>
      </c>
      <c r="F302" s="2">
        <v>70.784999999999997</v>
      </c>
    </row>
    <row r="303" spans="1:6" x14ac:dyDescent="0.35">
      <c r="A303" s="1">
        <v>45246</v>
      </c>
      <c r="B303" s="2">
        <v>70.150000000000006</v>
      </c>
      <c r="C303">
        <v>3658876</v>
      </c>
      <c r="D303" s="2">
        <v>70.03</v>
      </c>
      <c r="E303" s="2">
        <v>70.73</v>
      </c>
      <c r="F303" s="2">
        <v>68.7</v>
      </c>
    </row>
    <row r="304" spans="1:6" x14ac:dyDescent="0.35">
      <c r="A304" s="1">
        <v>45245</v>
      </c>
      <c r="B304" s="2">
        <v>71.739999999999995</v>
      </c>
      <c r="C304">
        <v>5662898</v>
      </c>
      <c r="D304" s="2">
        <v>69.14</v>
      </c>
      <c r="E304" s="2">
        <v>73.540000000000006</v>
      </c>
      <c r="F304" s="2">
        <v>69.14</v>
      </c>
    </row>
    <row r="305" spans="1:6" x14ac:dyDescent="0.35">
      <c r="A305" s="1">
        <v>45244</v>
      </c>
      <c r="B305" s="2">
        <v>68.38</v>
      </c>
      <c r="C305">
        <v>4582283</v>
      </c>
      <c r="D305" s="2">
        <v>65.97</v>
      </c>
      <c r="E305" s="2">
        <v>68.47</v>
      </c>
      <c r="F305" s="2">
        <v>65.775000000000006</v>
      </c>
    </row>
    <row r="306" spans="1:6" x14ac:dyDescent="0.35">
      <c r="A306" s="1">
        <v>45243</v>
      </c>
      <c r="B306" s="2">
        <v>63.21</v>
      </c>
      <c r="C306">
        <v>2304919</v>
      </c>
      <c r="D306" s="2">
        <v>62.97</v>
      </c>
      <c r="E306" s="2">
        <v>64.05</v>
      </c>
      <c r="F306" s="2">
        <v>62.75</v>
      </c>
    </row>
    <row r="307" spans="1:6" x14ac:dyDescent="0.35">
      <c r="A307" s="1">
        <v>45240</v>
      </c>
      <c r="B307" s="2">
        <v>63.24</v>
      </c>
      <c r="C307">
        <v>2564042</v>
      </c>
      <c r="D307" s="2">
        <v>61.93</v>
      </c>
      <c r="E307" s="2">
        <v>63.405000000000001</v>
      </c>
      <c r="F307" s="2">
        <v>60.67</v>
      </c>
    </row>
    <row r="308" spans="1:6" x14ac:dyDescent="0.35">
      <c r="A308" s="1">
        <v>45239</v>
      </c>
      <c r="B308" s="2">
        <v>62.02</v>
      </c>
      <c r="C308">
        <v>2752996</v>
      </c>
      <c r="D308" s="2">
        <v>64.569999999999993</v>
      </c>
      <c r="E308" s="2">
        <v>64.569999999999993</v>
      </c>
      <c r="F308" s="2">
        <v>61.559399999999997</v>
      </c>
    </row>
    <row r="309" spans="1:6" x14ac:dyDescent="0.35">
      <c r="A309" s="1">
        <v>45238</v>
      </c>
      <c r="B309" s="2">
        <v>63.99</v>
      </c>
      <c r="C309">
        <v>3035856</v>
      </c>
      <c r="D309" s="2">
        <v>64.12</v>
      </c>
      <c r="E309" s="2">
        <v>64.900000000000006</v>
      </c>
      <c r="F309" s="2">
        <v>62.8157</v>
      </c>
    </row>
    <row r="310" spans="1:6" x14ac:dyDescent="0.35">
      <c r="A310" s="1">
        <v>45237</v>
      </c>
      <c r="B310" s="2">
        <v>64.84</v>
      </c>
      <c r="C310">
        <v>3480236</v>
      </c>
      <c r="D310" s="2">
        <v>63.24</v>
      </c>
      <c r="E310" s="2">
        <v>65.22</v>
      </c>
      <c r="F310" s="2">
        <v>63</v>
      </c>
    </row>
    <row r="311" spans="1:6" x14ac:dyDescent="0.35">
      <c r="A311" s="1">
        <v>45236</v>
      </c>
      <c r="B311" s="2">
        <v>63.08</v>
      </c>
      <c r="C311">
        <v>3299349</v>
      </c>
      <c r="D311" s="2">
        <v>65.319999999999993</v>
      </c>
      <c r="E311" s="2">
        <v>65.8</v>
      </c>
      <c r="F311" s="2">
        <v>62.295000000000002</v>
      </c>
    </row>
    <row r="312" spans="1:6" x14ac:dyDescent="0.35">
      <c r="A312" s="1">
        <v>45233</v>
      </c>
      <c r="B312" s="2">
        <v>65.25</v>
      </c>
      <c r="C312">
        <v>5479802</v>
      </c>
      <c r="D312" s="2">
        <v>63.62</v>
      </c>
      <c r="E312" s="2">
        <v>67.680000000000007</v>
      </c>
      <c r="F312" s="2">
        <v>63.395000000000003</v>
      </c>
    </row>
    <row r="313" spans="1:6" x14ac:dyDescent="0.35">
      <c r="A313" s="1">
        <v>45232</v>
      </c>
      <c r="B313" s="2">
        <v>61.63</v>
      </c>
      <c r="C313">
        <v>10421840</v>
      </c>
      <c r="D313" s="2">
        <v>60</v>
      </c>
      <c r="E313" s="2">
        <v>64.209999999999994</v>
      </c>
      <c r="F313" s="2">
        <v>58.2</v>
      </c>
    </row>
    <row r="314" spans="1:6" x14ac:dyDescent="0.35">
      <c r="A314" s="1">
        <v>45231</v>
      </c>
      <c r="B314" s="2">
        <v>60.66</v>
      </c>
      <c r="C314">
        <v>7543240</v>
      </c>
      <c r="D314" s="2">
        <v>61.61</v>
      </c>
      <c r="E314" s="2">
        <v>61.9</v>
      </c>
      <c r="F314" s="2">
        <v>59.27</v>
      </c>
    </row>
    <row r="315" spans="1:6" x14ac:dyDescent="0.35">
      <c r="A315" s="1">
        <v>45230</v>
      </c>
      <c r="B315" s="2">
        <v>62.3</v>
      </c>
      <c r="C315">
        <v>2932735</v>
      </c>
      <c r="D315" s="2">
        <v>61.95</v>
      </c>
      <c r="E315" s="2">
        <v>63.31</v>
      </c>
      <c r="F315" s="2">
        <v>61.53</v>
      </c>
    </row>
    <row r="316" spans="1:6" x14ac:dyDescent="0.35">
      <c r="A316" s="1">
        <v>45229</v>
      </c>
      <c r="B316" s="2">
        <v>61.31</v>
      </c>
      <c r="C316">
        <v>4459091</v>
      </c>
      <c r="D316" s="2">
        <v>63.07</v>
      </c>
      <c r="E316" s="2">
        <v>63.19</v>
      </c>
      <c r="F316" s="2">
        <v>59.79</v>
      </c>
    </row>
    <row r="317" spans="1:6" x14ac:dyDescent="0.35">
      <c r="A317" s="1">
        <v>45226</v>
      </c>
      <c r="B317" s="2">
        <v>62.46</v>
      </c>
      <c r="C317">
        <v>3059107</v>
      </c>
      <c r="D317" s="2">
        <v>62.45</v>
      </c>
      <c r="E317" s="2">
        <v>63.74</v>
      </c>
      <c r="F317" s="2">
        <v>61.645000000000003</v>
      </c>
    </row>
    <row r="318" spans="1:6" x14ac:dyDescent="0.35">
      <c r="A318" s="1">
        <v>45225</v>
      </c>
      <c r="B318" s="2">
        <v>62.37</v>
      </c>
      <c r="C318">
        <v>3990930</v>
      </c>
      <c r="D318" s="2">
        <v>62.45</v>
      </c>
      <c r="E318" s="2">
        <v>63.18</v>
      </c>
      <c r="F318" s="2">
        <v>61.45</v>
      </c>
    </row>
    <row r="319" spans="1:6" x14ac:dyDescent="0.35">
      <c r="A319" s="1">
        <v>45224</v>
      </c>
      <c r="B319" s="2">
        <v>62.96</v>
      </c>
      <c r="C319">
        <v>3565121</v>
      </c>
      <c r="D319" s="2">
        <v>62.5</v>
      </c>
      <c r="E319" s="2">
        <v>63.07</v>
      </c>
      <c r="F319" s="2">
        <v>60.89</v>
      </c>
    </row>
    <row r="320" spans="1:6" x14ac:dyDescent="0.35">
      <c r="A320" s="1">
        <v>45223</v>
      </c>
      <c r="B320" s="2">
        <v>64.59</v>
      </c>
      <c r="C320">
        <v>2696629</v>
      </c>
      <c r="D320" s="2">
        <v>64.33</v>
      </c>
      <c r="E320" s="2">
        <v>66.08</v>
      </c>
      <c r="F320" s="2">
        <v>63.34</v>
      </c>
    </row>
    <row r="321" spans="1:6" x14ac:dyDescent="0.35">
      <c r="A321" s="1">
        <v>45222</v>
      </c>
      <c r="B321" s="2">
        <v>64.150000000000006</v>
      </c>
      <c r="C321">
        <v>2944750</v>
      </c>
      <c r="D321" s="2">
        <v>64.3</v>
      </c>
      <c r="E321" s="2">
        <v>65.44</v>
      </c>
      <c r="F321" s="2">
        <v>63.534999999999997</v>
      </c>
    </row>
    <row r="322" spans="1:6" x14ac:dyDescent="0.35">
      <c r="A322" s="1">
        <v>45219</v>
      </c>
      <c r="B322" s="2">
        <v>64.900000000000006</v>
      </c>
      <c r="C322">
        <v>3530324</v>
      </c>
      <c r="D322" s="2">
        <v>65.010000000000005</v>
      </c>
      <c r="E322" s="2">
        <v>66.498900000000006</v>
      </c>
      <c r="F322" s="2">
        <v>64.790000000000006</v>
      </c>
    </row>
    <row r="323" spans="1:6" x14ac:dyDescent="0.35">
      <c r="A323" s="1">
        <v>45218</v>
      </c>
      <c r="B323" s="2">
        <v>65.42</v>
      </c>
      <c r="C323">
        <v>3697620</v>
      </c>
      <c r="D323" s="2">
        <v>67.709999999999994</v>
      </c>
      <c r="E323" s="2">
        <v>68.12</v>
      </c>
      <c r="F323" s="2">
        <v>64.91</v>
      </c>
    </row>
    <row r="324" spans="1:6" x14ac:dyDescent="0.35">
      <c r="A324" s="1">
        <v>45217</v>
      </c>
      <c r="B324" s="2">
        <v>67.900000000000006</v>
      </c>
      <c r="C324">
        <v>3070617</v>
      </c>
      <c r="D324" s="2">
        <v>69.13</v>
      </c>
      <c r="E324" s="2">
        <v>69.680000000000007</v>
      </c>
      <c r="F324" s="2">
        <v>67.69</v>
      </c>
    </row>
    <row r="325" spans="1:6" x14ac:dyDescent="0.35">
      <c r="A325" s="1">
        <v>45216</v>
      </c>
      <c r="B325" s="2">
        <v>70.06</v>
      </c>
      <c r="C325">
        <v>4838487</v>
      </c>
      <c r="D325" s="2">
        <v>65.77</v>
      </c>
      <c r="E325" s="2">
        <v>70.314999999999998</v>
      </c>
      <c r="F325" s="2">
        <v>65.53</v>
      </c>
    </row>
    <row r="326" spans="1:6" x14ac:dyDescent="0.35">
      <c r="A326" s="1">
        <v>45215</v>
      </c>
      <c r="B326" s="2">
        <v>66.47</v>
      </c>
      <c r="C326">
        <v>4517089</v>
      </c>
      <c r="D326" s="2">
        <v>63.31</v>
      </c>
      <c r="E326" s="2">
        <v>66.760000000000005</v>
      </c>
      <c r="F326" s="2">
        <v>63.226799999999997</v>
      </c>
    </row>
    <row r="327" spans="1:6" x14ac:dyDescent="0.35">
      <c r="A327" s="1">
        <v>45212</v>
      </c>
      <c r="B327" s="2">
        <v>63.17</v>
      </c>
      <c r="C327">
        <v>3449334</v>
      </c>
      <c r="D327" s="2">
        <v>64.64</v>
      </c>
      <c r="E327" s="2">
        <v>64.64</v>
      </c>
      <c r="F327" s="2">
        <v>62.72</v>
      </c>
    </row>
    <row r="328" spans="1:6" x14ac:dyDescent="0.35">
      <c r="A328" s="1">
        <v>45211</v>
      </c>
      <c r="B328" s="2">
        <v>64.760000000000005</v>
      </c>
      <c r="C328">
        <v>2992292</v>
      </c>
      <c r="D328" s="2">
        <v>65.569999999999993</v>
      </c>
      <c r="E328" s="2">
        <v>65.569999999999993</v>
      </c>
      <c r="F328" s="2">
        <v>63.82</v>
      </c>
    </row>
    <row r="329" spans="1:6" x14ac:dyDescent="0.35">
      <c r="A329" s="1">
        <v>45210</v>
      </c>
      <c r="B329" s="2">
        <v>64.84</v>
      </c>
      <c r="C329">
        <v>2734224</v>
      </c>
      <c r="D329" s="2">
        <v>63.88</v>
      </c>
      <c r="E329" s="2">
        <v>65.302800000000005</v>
      </c>
      <c r="F329" s="2">
        <v>63.88</v>
      </c>
    </row>
    <row r="330" spans="1:6" x14ac:dyDescent="0.35">
      <c r="A330" s="1">
        <v>45209</v>
      </c>
      <c r="B330" s="2">
        <v>63.71</v>
      </c>
      <c r="C330">
        <v>3574804</v>
      </c>
      <c r="D330" s="2">
        <v>63.03</v>
      </c>
      <c r="E330" s="2">
        <v>64.760000000000005</v>
      </c>
      <c r="F330" s="2">
        <v>62.755000000000003</v>
      </c>
    </row>
    <row r="331" spans="1:6" x14ac:dyDescent="0.35">
      <c r="A331" s="1">
        <v>45208</v>
      </c>
      <c r="B331" s="2">
        <v>63.38</v>
      </c>
      <c r="C331">
        <v>2621162</v>
      </c>
      <c r="D331" s="2">
        <v>61.93</v>
      </c>
      <c r="E331" s="2">
        <v>63.55</v>
      </c>
      <c r="F331" s="2">
        <v>61.634999999999998</v>
      </c>
    </row>
    <row r="332" spans="1:6" x14ac:dyDescent="0.35">
      <c r="A332" s="1">
        <v>45205</v>
      </c>
      <c r="B332" s="2">
        <v>62.72</v>
      </c>
      <c r="C332">
        <v>3072737</v>
      </c>
      <c r="D332" s="2">
        <v>62.1</v>
      </c>
      <c r="E332" s="2">
        <v>63.82</v>
      </c>
      <c r="F332" s="2">
        <v>62.1</v>
      </c>
    </row>
    <row r="333" spans="1:6" x14ac:dyDescent="0.35">
      <c r="A333" s="1">
        <v>45204</v>
      </c>
      <c r="B333" s="2">
        <v>62.86</v>
      </c>
      <c r="C333">
        <v>3623724</v>
      </c>
      <c r="D333" s="2">
        <v>63.82</v>
      </c>
      <c r="E333" s="2">
        <v>64.180000000000007</v>
      </c>
      <c r="F333" s="2">
        <v>61.37</v>
      </c>
    </row>
    <row r="334" spans="1:6" x14ac:dyDescent="0.35">
      <c r="A334" s="1">
        <v>45203</v>
      </c>
      <c r="B334" s="2">
        <v>63.74</v>
      </c>
      <c r="C334">
        <v>3148151</v>
      </c>
      <c r="D334" s="2">
        <v>63.1</v>
      </c>
      <c r="E334" s="2">
        <v>64.319999999999993</v>
      </c>
      <c r="F334" s="2">
        <v>62.92</v>
      </c>
    </row>
    <row r="335" spans="1:6" x14ac:dyDescent="0.35">
      <c r="A335" s="1">
        <v>45202</v>
      </c>
      <c r="B335" s="2">
        <v>62.29</v>
      </c>
      <c r="C335">
        <v>3015157</v>
      </c>
      <c r="D335" s="2">
        <v>64.39</v>
      </c>
      <c r="E335" s="2">
        <v>64.91</v>
      </c>
      <c r="F335" s="2">
        <v>62.12</v>
      </c>
    </row>
    <row r="336" spans="1:6" x14ac:dyDescent="0.35">
      <c r="A336" s="1">
        <v>45201</v>
      </c>
      <c r="B336" s="2">
        <v>64.650000000000006</v>
      </c>
      <c r="C336">
        <v>4441236</v>
      </c>
      <c r="D336" s="2">
        <v>64.34</v>
      </c>
      <c r="E336" s="2">
        <v>65.11</v>
      </c>
      <c r="F336" s="2">
        <v>63.87</v>
      </c>
    </row>
    <row r="337" spans="1:6" x14ac:dyDescent="0.35">
      <c r="A337" s="1">
        <v>45198</v>
      </c>
      <c r="B337" s="2">
        <v>64.58</v>
      </c>
      <c r="C337">
        <v>3272947</v>
      </c>
      <c r="D337" s="2">
        <v>64.790000000000006</v>
      </c>
      <c r="E337" s="2">
        <v>65.87</v>
      </c>
      <c r="F337" s="2">
        <v>64.319999999999993</v>
      </c>
    </row>
    <row r="338" spans="1:6" x14ac:dyDescent="0.35">
      <c r="A338" s="1">
        <v>45197</v>
      </c>
      <c r="B338" s="2">
        <v>63.75</v>
      </c>
      <c r="C338">
        <v>3666754</v>
      </c>
      <c r="D338" s="2">
        <v>61.3</v>
      </c>
      <c r="E338" s="2">
        <v>63.96</v>
      </c>
      <c r="F338" s="2">
        <v>61.22</v>
      </c>
    </row>
    <row r="339" spans="1:6" x14ac:dyDescent="0.35">
      <c r="A339" s="1">
        <v>45196</v>
      </c>
      <c r="B339" s="2">
        <v>61.89</v>
      </c>
      <c r="C339">
        <v>3171438</v>
      </c>
      <c r="D339" s="2">
        <v>61.77</v>
      </c>
      <c r="E339" s="2">
        <v>63.1599</v>
      </c>
      <c r="F339" s="2">
        <v>61.71</v>
      </c>
    </row>
    <row r="340" spans="1:6" x14ac:dyDescent="0.35">
      <c r="A340" s="1">
        <v>45195</v>
      </c>
      <c r="B340" s="2">
        <v>61.87</v>
      </c>
      <c r="C340">
        <v>3961238</v>
      </c>
      <c r="D340" s="2">
        <v>64.290000000000006</v>
      </c>
      <c r="E340" s="2">
        <v>64.52</v>
      </c>
      <c r="F340" s="2">
        <v>61.47</v>
      </c>
    </row>
    <row r="341" spans="1:6" x14ac:dyDescent="0.35">
      <c r="A341" s="1">
        <v>45194</v>
      </c>
      <c r="B341" s="2">
        <v>64.72</v>
      </c>
      <c r="C341">
        <v>2738297</v>
      </c>
      <c r="D341" s="2">
        <v>63.1</v>
      </c>
      <c r="E341" s="2">
        <v>65.25</v>
      </c>
      <c r="F341" s="2">
        <v>63.01</v>
      </c>
    </row>
    <row r="342" spans="1:6" x14ac:dyDescent="0.35">
      <c r="A342" s="1">
        <v>45191</v>
      </c>
      <c r="B342" s="2">
        <v>63.8</v>
      </c>
      <c r="C342">
        <v>3626811</v>
      </c>
      <c r="D342" s="2">
        <v>65</v>
      </c>
      <c r="E342" s="2">
        <v>66.11</v>
      </c>
      <c r="F342" s="2">
        <v>63.5</v>
      </c>
    </row>
    <row r="343" spans="1:6" x14ac:dyDescent="0.35">
      <c r="A343" s="1">
        <v>45190</v>
      </c>
      <c r="B343" s="2">
        <v>64.25</v>
      </c>
      <c r="C343">
        <v>3968152</v>
      </c>
      <c r="D343" s="2">
        <v>63.79</v>
      </c>
      <c r="E343" s="2">
        <v>65.11</v>
      </c>
      <c r="F343" s="2">
        <v>63.53</v>
      </c>
    </row>
    <row r="344" spans="1:6" x14ac:dyDescent="0.35">
      <c r="A344" s="1">
        <v>45189</v>
      </c>
      <c r="B344" s="2">
        <v>64.69</v>
      </c>
      <c r="C344">
        <v>2743187</v>
      </c>
      <c r="D344" s="2">
        <v>65.739999999999995</v>
      </c>
      <c r="E344" s="2">
        <v>66.53</v>
      </c>
      <c r="F344" s="2">
        <v>64.59</v>
      </c>
    </row>
    <row r="345" spans="1:6" x14ac:dyDescent="0.35">
      <c r="A345" s="1">
        <v>45188</v>
      </c>
      <c r="B345" s="2">
        <v>65.739999999999995</v>
      </c>
      <c r="C345">
        <v>3111590</v>
      </c>
      <c r="D345" s="2">
        <v>63.24</v>
      </c>
      <c r="E345" s="2">
        <v>65.930000000000007</v>
      </c>
      <c r="F345" s="2">
        <v>62.89</v>
      </c>
    </row>
    <row r="346" spans="1:6" x14ac:dyDescent="0.35">
      <c r="A346" s="1">
        <v>45187</v>
      </c>
      <c r="B346" s="2">
        <v>63.85</v>
      </c>
      <c r="C346">
        <v>3454259</v>
      </c>
      <c r="D346" s="2">
        <v>64.260000000000005</v>
      </c>
      <c r="E346" s="2">
        <v>64.819999999999993</v>
      </c>
      <c r="F346" s="2">
        <v>63.63</v>
      </c>
    </row>
    <row r="347" spans="1:6" x14ac:dyDescent="0.35">
      <c r="A347" s="1">
        <v>45184</v>
      </c>
      <c r="B347" s="2">
        <v>64.94</v>
      </c>
      <c r="C347">
        <v>6547162</v>
      </c>
      <c r="D347" s="2">
        <v>66.63</v>
      </c>
      <c r="E347" s="2">
        <v>66.999099999999999</v>
      </c>
      <c r="F347" s="2">
        <v>63.86</v>
      </c>
    </row>
    <row r="348" spans="1:6" x14ac:dyDescent="0.35">
      <c r="A348" s="1">
        <v>45183</v>
      </c>
      <c r="B348" s="2">
        <v>66.680000000000007</v>
      </c>
      <c r="C348">
        <v>7410351</v>
      </c>
      <c r="D348" s="2">
        <v>68.59</v>
      </c>
      <c r="E348" s="2">
        <v>69.447199999999995</v>
      </c>
      <c r="F348" s="2">
        <v>65.42</v>
      </c>
    </row>
    <row r="349" spans="1:6" x14ac:dyDescent="0.35">
      <c r="A349" s="1">
        <v>45182</v>
      </c>
      <c r="B349" s="2">
        <v>64.56</v>
      </c>
      <c r="C349">
        <v>3117601</v>
      </c>
      <c r="D349" s="2">
        <v>64.5</v>
      </c>
      <c r="E349" s="2">
        <v>65.5</v>
      </c>
      <c r="F349" s="2">
        <v>63.51</v>
      </c>
    </row>
    <row r="350" spans="1:6" x14ac:dyDescent="0.35">
      <c r="A350" s="1">
        <v>45181</v>
      </c>
      <c r="B350" s="2">
        <v>64.81</v>
      </c>
      <c r="C350">
        <v>3912972</v>
      </c>
      <c r="D350" s="2">
        <v>64.459999999999994</v>
      </c>
      <c r="E350" s="2">
        <v>66.13</v>
      </c>
      <c r="F350" s="2">
        <v>64.3</v>
      </c>
    </row>
    <row r="351" spans="1:6" x14ac:dyDescent="0.35">
      <c r="A351" s="1">
        <v>45180</v>
      </c>
      <c r="B351" s="2">
        <v>64.819999999999993</v>
      </c>
      <c r="C351">
        <v>4005901</v>
      </c>
      <c r="D351" s="2">
        <v>67.3</v>
      </c>
      <c r="E351" s="2">
        <v>67.81</v>
      </c>
      <c r="F351" s="2">
        <v>64.78</v>
      </c>
    </row>
    <row r="352" spans="1:6" x14ac:dyDescent="0.35">
      <c r="A352" s="1">
        <v>45177</v>
      </c>
      <c r="B352" s="2">
        <v>67.13</v>
      </c>
      <c r="C352">
        <v>4075822</v>
      </c>
      <c r="D352" s="2">
        <v>69.39</v>
      </c>
      <c r="E352" s="2">
        <v>69.39</v>
      </c>
      <c r="F352" s="2">
        <v>66.680000000000007</v>
      </c>
    </row>
    <row r="353" spans="1:6" x14ac:dyDescent="0.35">
      <c r="A353" s="1">
        <v>45176</v>
      </c>
      <c r="B353" s="2">
        <v>69.09</v>
      </c>
      <c r="C353">
        <v>4094822</v>
      </c>
      <c r="D353" s="2">
        <v>71.900000000000006</v>
      </c>
      <c r="E353" s="2">
        <v>72.010000000000005</v>
      </c>
      <c r="F353" s="2">
        <v>68.36</v>
      </c>
    </row>
    <row r="354" spans="1:6" x14ac:dyDescent="0.35">
      <c r="A354" s="1">
        <v>45175</v>
      </c>
      <c r="B354" s="2">
        <v>72.739999999999995</v>
      </c>
      <c r="C354">
        <v>2882392</v>
      </c>
      <c r="D354" s="2">
        <v>72.45</v>
      </c>
      <c r="E354" s="2">
        <v>73.59</v>
      </c>
      <c r="F354" s="2">
        <v>71.89</v>
      </c>
    </row>
    <row r="355" spans="1:6" x14ac:dyDescent="0.35">
      <c r="A355" s="1">
        <v>45174</v>
      </c>
      <c r="B355" s="2">
        <v>72.819999999999993</v>
      </c>
      <c r="C355">
        <v>2345123</v>
      </c>
      <c r="D355" s="2">
        <v>74</v>
      </c>
      <c r="E355" s="2">
        <v>74.16</v>
      </c>
      <c r="F355" s="2">
        <v>72.69</v>
      </c>
    </row>
    <row r="356" spans="1:6" x14ac:dyDescent="0.35">
      <c r="A356" s="1">
        <v>45170</v>
      </c>
      <c r="B356" s="2">
        <v>74.635000000000005</v>
      </c>
      <c r="C356">
        <v>2175967</v>
      </c>
      <c r="D356" s="2">
        <v>74.08</v>
      </c>
      <c r="E356" s="2">
        <v>75.66</v>
      </c>
      <c r="F356" s="2">
        <v>74.02</v>
      </c>
    </row>
    <row r="357" spans="1:6" x14ac:dyDescent="0.35">
      <c r="A357" s="1">
        <v>45169</v>
      </c>
      <c r="B357" s="2">
        <v>73.569999999999993</v>
      </c>
      <c r="C357">
        <v>2599811</v>
      </c>
      <c r="D357" s="2">
        <v>74.63</v>
      </c>
      <c r="E357" s="2">
        <v>75.400000000000006</v>
      </c>
      <c r="F357" s="2">
        <v>73.010000000000005</v>
      </c>
    </row>
    <row r="358" spans="1:6" x14ac:dyDescent="0.35">
      <c r="A358" s="1">
        <v>45168</v>
      </c>
      <c r="B358" s="2">
        <v>74.319999999999993</v>
      </c>
      <c r="C358">
        <v>1681715</v>
      </c>
      <c r="D358" s="2">
        <v>74.05</v>
      </c>
      <c r="E358" s="2">
        <v>74.930000000000007</v>
      </c>
      <c r="F358" s="2">
        <v>73.430000000000007</v>
      </c>
    </row>
    <row r="359" spans="1:6" x14ac:dyDescent="0.35">
      <c r="A359" s="1">
        <v>45167</v>
      </c>
      <c r="B359" s="2">
        <v>74.400000000000006</v>
      </c>
      <c r="C359">
        <v>2005423</v>
      </c>
      <c r="D359" s="2">
        <v>71.88</v>
      </c>
      <c r="E359" s="2">
        <v>74.834999999999994</v>
      </c>
      <c r="F359" s="2">
        <v>71.28</v>
      </c>
    </row>
    <row r="360" spans="1:6" x14ac:dyDescent="0.35">
      <c r="A360" s="1">
        <v>45166</v>
      </c>
      <c r="B360" s="2">
        <v>72.239999999999995</v>
      </c>
      <c r="C360">
        <v>1840034</v>
      </c>
      <c r="D360" s="2">
        <v>72.739999999999995</v>
      </c>
      <c r="E360" s="2">
        <v>73.28</v>
      </c>
      <c r="F360" s="2">
        <v>71.930000000000007</v>
      </c>
    </row>
    <row r="361" spans="1:6" x14ac:dyDescent="0.35">
      <c r="A361" s="1">
        <v>45163</v>
      </c>
      <c r="B361" s="2">
        <v>72.31</v>
      </c>
      <c r="C361">
        <v>2584672</v>
      </c>
      <c r="D361" s="2">
        <v>72.38</v>
      </c>
      <c r="E361" s="2">
        <v>73.84</v>
      </c>
      <c r="F361" s="2">
        <v>71.77</v>
      </c>
    </row>
    <row r="362" spans="1:6" x14ac:dyDescent="0.35">
      <c r="A362" s="1">
        <v>45162</v>
      </c>
      <c r="B362" s="2">
        <v>71.62</v>
      </c>
      <c r="C362">
        <v>2979881</v>
      </c>
      <c r="D362" s="2">
        <v>72.88</v>
      </c>
      <c r="E362" s="2">
        <v>72.989999999999995</v>
      </c>
      <c r="F362" s="2">
        <v>71.59</v>
      </c>
    </row>
    <row r="363" spans="1:6" x14ac:dyDescent="0.35">
      <c r="A363" s="1">
        <v>45161</v>
      </c>
      <c r="B363" s="2">
        <v>73.08</v>
      </c>
      <c r="C363">
        <v>2637479</v>
      </c>
      <c r="D363" s="2">
        <v>74.59</v>
      </c>
      <c r="E363" s="2">
        <v>74.59</v>
      </c>
      <c r="F363" s="2">
        <v>72.989999999999995</v>
      </c>
    </row>
    <row r="364" spans="1:6" x14ac:dyDescent="0.35">
      <c r="A364" s="1">
        <v>45160</v>
      </c>
      <c r="B364" s="2">
        <v>73.48</v>
      </c>
      <c r="C364">
        <v>2482148</v>
      </c>
      <c r="D364" s="2">
        <v>73.48</v>
      </c>
      <c r="E364" s="2">
        <v>74.14</v>
      </c>
      <c r="F364" s="2">
        <v>72.400000000000006</v>
      </c>
    </row>
    <row r="365" spans="1:6" x14ac:dyDescent="0.35">
      <c r="A365" s="1">
        <v>45159</v>
      </c>
      <c r="B365" s="2">
        <v>73.319999999999993</v>
      </c>
      <c r="C365">
        <v>2746221</v>
      </c>
      <c r="D365" s="2">
        <v>73.91</v>
      </c>
      <c r="E365" s="2">
        <v>75.06</v>
      </c>
      <c r="F365" s="2">
        <v>73.05</v>
      </c>
    </row>
    <row r="366" spans="1:6" x14ac:dyDescent="0.35">
      <c r="A366" s="1">
        <v>45156</v>
      </c>
      <c r="B366" s="2">
        <v>73.78</v>
      </c>
      <c r="C366">
        <v>3264125</v>
      </c>
      <c r="D366" s="2">
        <v>73.33</v>
      </c>
      <c r="E366" s="2">
        <v>74.62</v>
      </c>
      <c r="F366" s="2">
        <v>72.564999999999998</v>
      </c>
    </row>
    <row r="367" spans="1:6" x14ac:dyDescent="0.35">
      <c r="A367" s="1">
        <v>45155</v>
      </c>
      <c r="B367" s="2">
        <v>74.97</v>
      </c>
      <c r="C367">
        <v>3836061</v>
      </c>
      <c r="D367" s="2">
        <v>74</v>
      </c>
      <c r="E367" s="2">
        <v>76.959999999999994</v>
      </c>
      <c r="F367" s="2">
        <v>74</v>
      </c>
    </row>
    <row r="368" spans="1:6" x14ac:dyDescent="0.35">
      <c r="A368" s="1">
        <v>45154</v>
      </c>
      <c r="B368" s="2">
        <v>73.95</v>
      </c>
      <c r="C368">
        <v>2827760</v>
      </c>
      <c r="D368" s="2">
        <v>75.14</v>
      </c>
      <c r="E368" s="2">
        <v>76.260000000000005</v>
      </c>
      <c r="F368" s="2">
        <v>73.87</v>
      </c>
    </row>
    <row r="369" spans="1:6" x14ac:dyDescent="0.35">
      <c r="A369" s="1">
        <v>45153</v>
      </c>
      <c r="B369" s="2">
        <v>75.86</v>
      </c>
      <c r="C369">
        <v>3615170</v>
      </c>
      <c r="D369" s="2">
        <v>78.12</v>
      </c>
      <c r="E369" s="2">
        <v>78.12</v>
      </c>
      <c r="F369" s="2">
        <v>75.680000000000007</v>
      </c>
    </row>
    <row r="370" spans="1:6" x14ac:dyDescent="0.35">
      <c r="A370" s="1">
        <v>45152</v>
      </c>
      <c r="B370" s="2">
        <v>79.3</v>
      </c>
      <c r="C370">
        <v>3522125</v>
      </c>
      <c r="D370" s="2">
        <v>76.02</v>
      </c>
      <c r="E370" s="2">
        <v>79.47</v>
      </c>
      <c r="F370" s="2">
        <v>76.02</v>
      </c>
    </row>
    <row r="371" spans="1:6" x14ac:dyDescent="0.35">
      <c r="A371" s="1">
        <v>45149</v>
      </c>
      <c r="B371" s="2">
        <v>76.64</v>
      </c>
      <c r="C371">
        <v>2956644</v>
      </c>
      <c r="D371" s="2">
        <v>77.63</v>
      </c>
      <c r="E371" s="2">
        <v>78.400000000000006</v>
      </c>
      <c r="F371" s="2">
        <v>76.02</v>
      </c>
    </row>
    <row r="372" spans="1:6" x14ac:dyDescent="0.35">
      <c r="A372" s="1">
        <v>45148</v>
      </c>
      <c r="B372" s="2">
        <v>78.209999999999994</v>
      </c>
      <c r="C372">
        <v>4038586</v>
      </c>
      <c r="D372" s="2">
        <v>80.5</v>
      </c>
      <c r="E372" s="2">
        <v>81.290000000000006</v>
      </c>
      <c r="F372" s="2">
        <v>77.91</v>
      </c>
    </row>
    <row r="373" spans="1:6" x14ac:dyDescent="0.35">
      <c r="A373" s="1">
        <v>45147</v>
      </c>
      <c r="B373" s="2">
        <v>79.87</v>
      </c>
      <c r="C373">
        <v>3103428</v>
      </c>
      <c r="D373" s="2">
        <v>82.5</v>
      </c>
      <c r="E373" s="2">
        <v>82.754000000000005</v>
      </c>
      <c r="F373" s="2">
        <v>79.625</v>
      </c>
    </row>
    <row r="374" spans="1:6" x14ac:dyDescent="0.35">
      <c r="A374" s="1">
        <v>45146</v>
      </c>
      <c r="B374" s="2">
        <v>82.5</v>
      </c>
      <c r="C374">
        <v>3313298</v>
      </c>
      <c r="D374" s="2">
        <v>82.93</v>
      </c>
      <c r="E374" s="2">
        <v>83.42</v>
      </c>
      <c r="F374" s="2">
        <v>80.38</v>
      </c>
    </row>
    <row r="375" spans="1:6" x14ac:dyDescent="0.35">
      <c r="A375" s="1">
        <v>45145</v>
      </c>
      <c r="B375" s="2">
        <v>84.43</v>
      </c>
      <c r="C375">
        <v>4072738</v>
      </c>
      <c r="D375" s="2">
        <v>82</v>
      </c>
      <c r="E375" s="2">
        <v>84.754999999999995</v>
      </c>
      <c r="F375" s="2">
        <v>80.75</v>
      </c>
    </row>
    <row r="376" spans="1:6" x14ac:dyDescent="0.35">
      <c r="A376" s="1">
        <v>45142</v>
      </c>
      <c r="B376" s="2">
        <v>81.59</v>
      </c>
      <c r="C376">
        <v>5118779</v>
      </c>
      <c r="D376" s="2">
        <v>84.31</v>
      </c>
      <c r="E376" s="2">
        <v>84.8</v>
      </c>
      <c r="F376" s="2">
        <v>81.165000000000006</v>
      </c>
    </row>
    <row r="377" spans="1:6" x14ac:dyDescent="0.35">
      <c r="A377" s="1">
        <v>45141</v>
      </c>
      <c r="B377" s="2">
        <v>82.92</v>
      </c>
      <c r="C377">
        <v>11508400</v>
      </c>
      <c r="D377" s="2">
        <v>87.204999999999998</v>
      </c>
      <c r="E377" s="2">
        <v>89.78</v>
      </c>
      <c r="F377" s="2">
        <v>82.48</v>
      </c>
    </row>
    <row r="378" spans="1:6" x14ac:dyDescent="0.35">
      <c r="A378" s="1">
        <v>45140</v>
      </c>
      <c r="B378" s="2">
        <v>96.07</v>
      </c>
      <c r="C378">
        <v>4054884</v>
      </c>
      <c r="D378" s="2">
        <v>96.5</v>
      </c>
      <c r="E378" s="2">
        <v>97.44</v>
      </c>
      <c r="F378" s="2">
        <v>94.27</v>
      </c>
    </row>
    <row r="379" spans="1:6" x14ac:dyDescent="0.35">
      <c r="A379" s="1">
        <v>45139</v>
      </c>
      <c r="B379" s="2">
        <v>98.6</v>
      </c>
      <c r="C379">
        <v>1812131</v>
      </c>
      <c r="D379" s="2">
        <v>100.56</v>
      </c>
      <c r="E379" s="2">
        <v>101.8</v>
      </c>
      <c r="F379" s="2">
        <v>98.23</v>
      </c>
    </row>
    <row r="380" spans="1:6" x14ac:dyDescent="0.35">
      <c r="A380" s="1">
        <v>45138</v>
      </c>
      <c r="B380" s="2">
        <v>101.65</v>
      </c>
      <c r="C380">
        <v>2631485</v>
      </c>
      <c r="D380" s="2">
        <v>100.2</v>
      </c>
      <c r="E380" s="2">
        <v>102.81</v>
      </c>
      <c r="F380" s="2">
        <v>100.17</v>
      </c>
    </row>
    <row r="381" spans="1:6" x14ac:dyDescent="0.35">
      <c r="A381" s="1">
        <v>45135</v>
      </c>
      <c r="B381" s="2">
        <v>99.63</v>
      </c>
      <c r="C381">
        <v>2651982</v>
      </c>
      <c r="D381" s="2">
        <v>98.025000000000006</v>
      </c>
      <c r="E381" s="2">
        <v>100.69</v>
      </c>
      <c r="F381" s="2">
        <v>97.7</v>
      </c>
    </row>
    <row r="382" spans="1:6" x14ac:dyDescent="0.35">
      <c r="A382" s="1">
        <v>45134</v>
      </c>
      <c r="B382" s="2">
        <v>95.73</v>
      </c>
      <c r="C382">
        <v>2506901</v>
      </c>
      <c r="D382" s="2">
        <v>97.5</v>
      </c>
      <c r="E382" s="2">
        <v>98.65</v>
      </c>
      <c r="F382" s="2">
        <v>95.4</v>
      </c>
    </row>
    <row r="383" spans="1:6" x14ac:dyDescent="0.35">
      <c r="A383" s="1">
        <v>45133</v>
      </c>
      <c r="B383" s="2">
        <v>96.39</v>
      </c>
      <c r="C383">
        <v>1923619</v>
      </c>
      <c r="D383" s="2">
        <v>94.88</v>
      </c>
      <c r="E383" s="2">
        <v>97.56</v>
      </c>
      <c r="F383" s="2">
        <v>94.87</v>
      </c>
    </row>
    <row r="384" spans="1:6" x14ac:dyDescent="0.35">
      <c r="A384" s="1">
        <v>45132</v>
      </c>
      <c r="B384" s="2">
        <v>94.99</v>
      </c>
      <c r="C384">
        <v>2014491</v>
      </c>
      <c r="D384" s="2">
        <v>97.16</v>
      </c>
      <c r="E384" s="2">
        <v>97.6</v>
      </c>
      <c r="F384" s="2">
        <v>94.5</v>
      </c>
    </row>
    <row r="385" spans="1:6" x14ac:dyDescent="0.35">
      <c r="A385" s="1">
        <v>45131</v>
      </c>
      <c r="B385" s="2">
        <v>96.54</v>
      </c>
      <c r="C385">
        <v>2446378</v>
      </c>
      <c r="D385" s="2">
        <v>96.61</v>
      </c>
      <c r="E385" s="2">
        <v>97.67</v>
      </c>
      <c r="F385" s="2">
        <v>94.5</v>
      </c>
    </row>
    <row r="386" spans="1:6" x14ac:dyDescent="0.35">
      <c r="A386" s="1">
        <v>45128</v>
      </c>
      <c r="B386" s="2">
        <v>96.74</v>
      </c>
      <c r="C386">
        <v>5530251</v>
      </c>
      <c r="D386" s="2">
        <v>96.92</v>
      </c>
      <c r="E386" s="2">
        <v>101.96</v>
      </c>
      <c r="F386" s="2">
        <v>96.716099999999997</v>
      </c>
    </row>
    <row r="387" spans="1:6" x14ac:dyDescent="0.35">
      <c r="A387" s="1">
        <v>45127</v>
      </c>
      <c r="B387" s="2">
        <v>93.07</v>
      </c>
      <c r="C387">
        <v>2351471</v>
      </c>
      <c r="D387" s="2">
        <v>94.73</v>
      </c>
      <c r="E387" s="2">
        <v>95.05</v>
      </c>
      <c r="F387" s="2">
        <v>92.46</v>
      </c>
    </row>
    <row r="388" spans="1:6" x14ac:dyDescent="0.35">
      <c r="A388" s="1">
        <v>45126</v>
      </c>
      <c r="B388" s="2">
        <v>96.09</v>
      </c>
      <c r="C388">
        <v>3088499</v>
      </c>
      <c r="D388" s="2">
        <v>93.82</v>
      </c>
      <c r="E388" s="2">
        <v>97.02</v>
      </c>
      <c r="F388" s="2">
        <v>93.690100000000001</v>
      </c>
    </row>
    <row r="389" spans="1:6" x14ac:dyDescent="0.35">
      <c r="A389" s="1">
        <v>45125</v>
      </c>
      <c r="B389" s="2">
        <v>93.33</v>
      </c>
      <c r="C389">
        <v>2077192</v>
      </c>
      <c r="D389" s="2">
        <v>93.515000000000001</v>
      </c>
      <c r="E389" s="2">
        <v>96.29</v>
      </c>
      <c r="F389" s="2">
        <v>93.15</v>
      </c>
    </row>
    <row r="390" spans="1:6" x14ac:dyDescent="0.35">
      <c r="A390" s="1">
        <v>45124</v>
      </c>
      <c r="B390" s="2">
        <v>93.4</v>
      </c>
      <c r="C390">
        <v>1714936</v>
      </c>
      <c r="D390" s="2">
        <v>91.5</v>
      </c>
      <c r="E390" s="2">
        <v>93.67</v>
      </c>
      <c r="F390" s="2">
        <v>90.22</v>
      </c>
    </row>
    <row r="391" spans="1:6" x14ac:dyDescent="0.35">
      <c r="A391" s="1">
        <v>45121</v>
      </c>
      <c r="B391" s="2">
        <v>92.25</v>
      </c>
      <c r="C391">
        <v>2597984</v>
      </c>
      <c r="D391" s="2">
        <v>92.32</v>
      </c>
      <c r="E391" s="2">
        <v>93.24</v>
      </c>
      <c r="F391" s="2">
        <v>91.12</v>
      </c>
    </row>
    <row r="392" spans="1:6" x14ac:dyDescent="0.35">
      <c r="A392" s="1">
        <v>45120</v>
      </c>
      <c r="B392" s="2">
        <v>93.15</v>
      </c>
      <c r="C392">
        <v>3045062</v>
      </c>
      <c r="D392" s="2">
        <v>92.85</v>
      </c>
      <c r="E392" s="2">
        <v>94.54</v>
      </c>
      <c r="F392" s="2">
        <v>92.29</v>
      </c>
    </row>
    <row r="393" spans="1:6" x14ac:dyDescent="0.35">
      <c r="A393" s="1">
        <v>45119</v>
      </c>
      <c r="B393" s="2">
        <v>91.5</v>
      </c>
      <c r="C393">
        <v>3060220</v>
      </c>
      <c r="D393" s="2">
        <v>95.27</v>
      </c>
      <c r="E393" s="2">
        <v>95.43</v>
      </c>
      <c r="F393" s="2">
        <v>91.49</v>
      </c>
    </row>
    <row r="394" spans="1:6" x14ac:dyDescent="0.35">
      <c r="A394" s="1">
        <v>45118</v>
      </c>
      <c r="B394" s="2">
        <v>93.71</v>
      </c>
      <c r="C394">
        <v>6238155</v>
      </c>
      <c r="D394" s="2">
        <v>88.76</v>
      </c>
      <c r="E394" s="2">
        <v>94.82</v>
      </c>
      <c r="F394" s="2">
        <v>88.694999999999993</v>
      </c>
    </row>
    <row r="395" spans="1:6" x14ac:dyDescent="0.35">
      <c r="A395" s="1">
        <v>45117</v>
      </c>
      <c r="B395" s="2">
        <v>85.83</v>
      </c>
      <c r="C395">
        <v>2527151</v>
      </c>
      <c r="D395" s="2">
        <v>82.28</v>
      </c>
      <c r="E395" s="2">
        <v>85.86</v>
      </c>
      <c r="F395" s="2">
        <v>81.900000000000006</v>
      </c>
    </row>
    <row r="396" spans="1:6" x14ac:dyDescent="0.35">
      <c r="A396" s="1">
        <v>45114</v>
      </c>
      <c r="B396" s="2">
        <v>82.76</v>
      </c>
      <c r="C396">
        <v>3143370</v>
      </c>
      <c r="D396" s="2">
        <v>83</v>
      </c>
      <c r="E396" s="2">
        <v>83.929900000000004</v>
      </c>
      <c r="F396" s="2">
        <v>82.6</v>
      </c>
    </row>
    <row r="397" spans="1:6" x14ac:dyDescent="0.35">
      <c r="A397" s="1">
        <v>45113</v>
      </c>
      <c r="B397" s="2">
        <v>82.91</v>
      </c>
      <c r="C397">
        <v>2928959</v>
      </c>
      <c r="D397" s="2">
        <v>83.06</v>
      </c>
      <c r="E397" s="2">
        <v>83.954999999999998</v>
      </c>
      <c r="F397" s="2">
        <v>81.96</v>
      </c>
    </row>
    <row r="398" spans="1:6" x14ac:dyDescent="0.35">
      <c r="A398" s="1">
        <v>45112</v>
      </c>
      <c r="B398" s="2">
        <v>85.15</v>
      </c>
      <c r="C398">
        <v>3321987</v>
      </c>
      <c r="D398" s="2">
        <v>84.89</v>
      </c>
      <c r="E398" s="2">
        <v>85.36</v>
      </c>
      <c r="F398" s="2">
        <v>82.4</v>
      </c>
    </row>
    <row r="399" spans="1:6" x14ac:dyDescent="0.35">
      <c r="A399" s="1">
        <v>45110</v>
      </c>
      <c r="B399" s="2">
        <v>85.4</v>
      </c>
      <c r="C399">
        <v>2184796</v>
      </c>
      <c r="D399" s="2">
        <v>85.25</v>
      </c>
      <c r="E399" s="2">
        <v>85.83</v>
      </c>
      <c r="F399" s="2">
        <v>83.85</v>
      </c>
    </row>
    <row r="400" spans="1:6" x14ac:dyDescent="0.35">
      <c r="A400" s="1">
        <v>45107</v>
      </c>
      <c r="B400" s="2">
        <v>84.61</v>
      </c>
      <c r="C400">
        <v>3067311</v>
      </c>
      <c r="D400" s="2">
        <v>86.68</v>
      </c>
      <c r="E400" s="2">
        <v>86.784999999999997</v>
      </c>
      <c r="F400" s="2">
        <v>84.21</v>
      </c>
    </row>
    <row r="401" spans="1:6" x14ac:dyDescent="0.35">
      <c r="A401" s="1">
        <v>45106</v>
      </c>
      <c r="B401" s="2">
        <v>85.73</v>
      </c>
      <c r="C401">
        <v>1954462</v>
      </c>
      <c r="D401" s="2">
        <v>87.49</v>
      </c>
      <c r="E401" s="2">
        <v>87.9499</v>
      </c>
      <c r="F401" s="2">
        <v>84.94</v>
      </c>
    </row>
    <row r="402" spans="1:6" x14ac:dyDescent="0.35">
      <c r="A402" s="1">
        <v>45105</v>
      </c>
      <c r="B402" s="2">
        <v>87.45</v>
      </c>
      <c r="C402">
        <v>1998577</v>
      </c>
      <c r="D402" s="2">
        <v>87.26</v>
      </c>
      <c r="E402" s="2">
        <v>88.877200000000002</v>
      </c>
      <c r="F402" s="2">
        <v>86.04</v>
      </c>
    </row>
    <row r="403" spans="1:6" x14ac:dyDescent="0.35">
      <c r="A403" s="1">
        <v>45104</v>
      </c>
      <c r="B403" s="2">
        <v>87.49</v>
      </c>
      <c r="C403">
        <v>2525885</v>
      </c>
      <c r="D403" s="2">
        <v>85.15</v>
      </c>
      <c r="E403" s="2">
        <v>87.85</v>
      </c>
      <c r="F403" s="2">
        <v>85.090100000000007</v>
      </c>
    </row>
    <row r="404" spans="1:6" x14ac:dyDescent="0.35">
      <c r="A404" s="1">
        <v>45103</v>
      </c>
      <c r="B404" s="2">
        <v>84.57</v>
      </c>
      <c r="C404">
        <v>4037667</v>
      </c>
      <c r="D404" s="2">
        <v>88.64</v>
      </c>
      <c r="E404" s="2">
        <v>89.65</v>
      </c>
      <c r="F404" s="2">
        <v>84.5</v>
      </c>
    </row>
    <row r="405" spans="1:6" x14ac:dyDescent="0.35">
      <c r="A405" s="1">
        <v>45100</v>
      </c>
      <c r="B405" s="2">
        <v>88.93</v>
      </c>
      <c r="C405">
        <v>4755107</v>
      </c>
      <c r="D405" s="2">
        <v>91.28</v>
      </c>
      <c r="E405" s="2">
        <v>91.92</v>
      </c>
      <c r="F405" s="2">
        <v>88.81</v>
      </c>
    </row>
    <row r="406" spans="1:6" x14ac:dyDescent="0.35">
      <c r="A406" s="1">
        <v>45099</v>
      </c>
      <c r="B406" s="2">
        <v>92.14</v>
      </c>
      <c r="C406">
        <v>2841793</v>
      </c>
      <c r="D406" s="2">
        <v>93.78</v>
      </c>
      <c r="E406" s="2">
        <v>93.844999999999999</v>
      </c>
      <c r="F406" s="2">
        <v>91.21</v>
      </c>
    </row>
    <row r="407" spans="1:6" x14ac:dyDescent="0.35">
      <c r="A407" s="1">
        <v>45098</v>
      </c>
      <c r="B407" s="2">
        <v>94.63</v>
      </c>
      <c r="C407">
        <v>2982881</v>
      </c>
      <c r="D407" s="2">
        <v>95.66</v>
      </c>
      <c r="E407" s="2">
        <v>97.03</v>
      </c>
      <c r="F407" s="2">
        <v>93.921999999999997</v>
      </c>
    </row>
    <row r="408" spans="1:6" x14ac:dyDescent="0.35">
      <c r="A408" s="1">
        <v>45097</v>
      </c>
      <c r="B408" s="2">
        <v>96.19</v>
      </c>
      <c r="C408">
        <v>3249148</v>
      </c>
      <c r="D408" s="2">
        <v>95.11</v>
      </c>
      <c r="E408" s="2">
        <v>98</v>
      </c>
      <c r="F408" s="2">
        <v>94.78</v>
      </c>
    </row>
    <row r="409" spans="1:6" x14ac:dyDescent="0.35">
      <c r="A409" s="1">
        <v>45093</v>
      </c>
      <c r="B409" s="2">
        <v>94.6</v>
      </c>
      <c r="C409">
        <v>4247954</v>
      </c>
      <c r="D409" s="2">
        <v>96.46</v>
      </c>
      <c r="E409" s="2">
        <v>96.5</v>
      </c>
      <c r="F409" s="2">
        <v>93.322400000000002</v>
      </c>
    </row>
    <row r="410" spans="1:6" x14ac:dyDescent="0.35">
      <c r="A410" s="1">
        <v>45092</v>
      </c>
      <c r="B410" s="2">
        <v>95.97</v>
      </c>
      <c r="C410">
        <v>2425100</v>
      </c>
      <c r="D410" s="2">
        <v>94.42</v>
      </c>
      <c r="E410" s="2">
        <v>96.65</v>
      </c>
      <c r="F410" s="2">
        <v>93.37</v>
      </c>
    </row>
    <row r="411" spans="1:6" x14ac:dyDescent="0.35">
      <c r="A411" s="1">
        <v>45091</v>
      </c>
      <c r="B411" s="2">
        <v>95.06</v>
      </c>
      <c r="C411">
        <v>3067653</v>
      </c>
      <c r="D411" s="2">
        <v>93.12</v>
      </c>
      <c r="E411" s="2">
        <v>95.5</v>
      </c>
      <c r="F411" s="2">
        <v>92.54</v>
      </c>
    </row>
    <row r="412" spans="1:6" x14ac:dyDescent="0.35">
      <c r="A412" s="1">
        <v>45090</v>
      </c>
      <c r="B412" s="2">
        <v>92.84</v>
      </c>
      <c r="C412">
        <v>3586550</v>
      </c>
      <c r="D412" s="2">
        <v>91.26</v>
      </c>
      <c r="E412" s="2">
        <v>93.51</v>
      </c>
      <c r="F412" s="2">
        <v>89.85</v>
      </c>
    </row>
    <row r="413" spans="1:6" x14ac:dyDescent="0.35">
      <c r="A413" s="1">
        <v>45089</v>
      </c>
      <c r="B413" s="2">
        <v>90.51</v>
      </c>
      <c r="C413">
        <v>3499488</v>
      </c>
      <c r="D413" s="2">
        <v>91.89</v>
      </c>
      <c r="E413" s="2">
        <v>91.894999999999996</v>
      </c>
      <c r="F413" s="2">
        <v>87.64</v>
      </c>
    </row>
    <row r="414" spans="1:6" x14ac:dyDescent="0.35">
      <c r="A414" s="1">
        <v>45086</v>
      </c>
      <c r="B414" s="2">
        <v>91.24</v>
      </c>
      <c r="C414">
        <v>5604726</v>
      </c>
      <c r="D414" s="2">
        <v>91.87</v>
      </c>
      <c r="E414" s="2">
        <v>93.59</v>
      </c>
      <c r="F414" s="2">
        <v>90.4</v>
      </c>
    </row>
    <row r="415" spans="1:6" x14ac:dyDescent="0.35">
      <c r="A415" s="1">
        <v>45085</v>
      </c>
      <c r="B415" s="2">
        <v>87.56</v>
      </c>
      <c r="C415">
        <v>2715775</v>
      </c>
      <c r="D415" s="2">
        <v>86.39</v>
      </c>
      <c r="E415" s="2">
        <v>87.979900000000001</v>
      </c>
      <c r="F415" s="2">
        <v>84.74</v>
      </c>
    </row>
    <row r="416" spans="1:6" x14ac:dyDescent="0.35">
      <c r="A416" s="1">
        <v>45084</v>
      </c>
      <c r="B416" s="2">
        <v>87.57</v>
      </c>
      <c r="C416">
        <v>3304495</v>
      </c>
      <c r="D416" s="2">
        <v>91.79</v>
      </c>
      <c r="E416" s="2">
        <v>92.739900000000006</v>
      </c>
      <c r="F416" s="2">
        <v>87.305000000000007</v>
      </c>
    </row>
    <row r="417" spans="1:6" x14ac:dyDescent="0.35">
      <c r="A417" s="1">
        <v>45083</v>
      </c>
      <c r="B417" s="2">
        <v>90.05</v>
      </c>
      <c r="C417">
        <v>4287596</v>
      </c>
      <c r="D417" s="2">
        <v>85.26</v>
      </c>
      <c r="E417" s="2">
        <v>91.8</v>
      </c>
      <c r="F417" s="2">
        <v>85.22</v>
      </c>
    </row>
    <row r="418" spans="1:6" x14ac:dyDescent="0.35">
      <c r="A418" s="1">
        <v>45082</v>
      </c>
      <c r="B418" s="2">
        <v>85.25</v>
      </c>
      <c r="C418">
        <v>2741043</v>
      </c>
      <c r="D418" s="2">
        <v>84.86</v>
      </c>
      <c r="E418" s="2">
        <v>87.07</v>
      </c>
      <c r="F418" s="2">
        <v>84.57</v>
      </c>
    </row>
    <row r="419" spans="1:6" x14ac:dyDescent="0.35">
      <c r="A419" s="1">
        <v>45079</v>
      </c>
      <c r="B419" s="2">
        <v>85.01</v>
      </c>
      <c r="C419">
        <v>3539625</v>
      </c>
      <c r="D419" s="2">
        <v>83.34</v>
      </c>
      <c r="E419" s="2">
        <v>86.24</v>
      </c>
      <c r="F419" s="2">
        <v>82.8</v>
      </c>
    </row>
    <row r="420" spans="1:6" x14ac:dyDescent="0.35">
      <c r="A420" s="1">
        <v>45078</v>
      </c>
      <c r="B420" s="2">
        <v>81.99</v>
      </c>
      <c r="C420">
        <v>3398195</v>
      </c>
      <c r="D420" s="2">
        <v>81.25</v>
      </c>
      <c r="E420" s="2">
        <v>82.579899999999995</v>
      </c>
      <c r="F420" s="2">
        <v>80.7</v>
      </c>
    </row>
    <row r="421" spans="1:6" x14ac:dyDescent="0.35">
      <c r="A421" s="1">
        <v>45077</v>
      </c>
      <c r="B421" s="2">
        <v>81.05</v>
      </c>
      <c r="C421">
        <v>5132745</v>
      </c>
      <c r="D421" s="2">
        <v>82.23</v>
      </c>
      <c r="E421" s="2">
        <v>83.55</v>
      </c>
      <c r="F421" s="2">
        <v>80.44</v>
      </c>
    </row>
    <row r="422" spans="1:6" x14ac:dyDescent="0.35">
      <c r="A422" s="1">
        <v>45076</v>
      </c>
      <c r="B422" s="2">
        <v>82.49</v>
      </c>
      <c r="C422">
        <v>3378193</v>
      </c>
      <c r="D422" s="2">
        <v>86.13</v>
      </c>
      <c r="E422" s="2">
        <v>86.28</v>
      </c>
      <c r="F422" s="2">
        <v>82.375</v>
      </c>
    </row>
    <row r="423" spans="1:6" x14ac:dyDescent="0.35">
      <c r="A423" s="1">
        <v>45072</v>
      </c>
      <c r="B423" s="2">
        <v>85.53</v>
      </c>
      <c r="C423">
        <v>3456948</v>
      </c>
      <c r="D423" s="2">
        <v>86.68</v>
      </c>
      <c r="E423" s="2">
        <v>87.34</v>
      </c>
      <c r="F423" s="2">
        <v>84.954999999999998</v>
      </c>
    </row>
    <row r="424" spans="1:6" x14ac:dyDescent="0.35">
      <c r="A424" s="1">
        <v>45071</v>
      </c>
      <c r="B424" s="2">
        <v>86.23</v>
      </c>
      <c r="C424">
        <v>2389348</v>
      </c>
      <c r="D424" s="2">
        <v>87.76</v>
      </c>
      <c r="E424" s="2">
        <v>88.4</v>
      </c>
      <c r="F424" s="2">
        <v>84.92</v>
      </c>
    </row>
    <row r="425" spans="1:6" x14ac:dyDescent="0.35">
      <c r="A425" s="1">
        <v>45070</v>
      </c>
      <c r="B425" s="2">
        <v>87.66</v>
      </c>
      <c r="C425">
        <v>2221465</v>
      </c>
      <c r="D425" s="2">
        <v>88.25</v>
      </c>
      <c r="E425" s="2">
        <v>88.691100000000006</v>
      </c>
      <c r="F425" s="2">
        <v>86</v>
      </c>
    </row>
    <row r="426" spans="1:6" x14ac:dyDescent="0.35">
      <c r="A426" s="1">
        <v>45069</v>
      </c>
      <c r="B426" s="2">
        <v>88.03</v>
      </c>
      <c r="C426">
        <v>3170250</v>
      </c>
      <c r="D426" s="2">
        <v>89.49</v>
      </c>
      <c r="E426" s="2">
        <v>90.775000000000006</v>
      </c>
      <c r="F426" s="2">
        <v>87.92</v>
      </c>
    </row>
    <row r="427" spans="1:6" x14ac:dyDescent="0.35">
      <c r="A427" s="1">
        <v>45068</v>
      </c>
      <c r="B427" s="2">
        <v>90.02</v>
      </c>
      <c r="C427">
        <v>3304900</v>
      </c>
      <c r="D427" s="2">
        <v>88.95</v>
      </c>
      <c r="E427" s="2">
        <v>90.784999999999997</v>
      </c>
      <c r="F427" s="2">
        <v>88</v>
      </c>
    </row>
    <row r="428" spans="1:6" x14ac:dyDescent="0.35">
      <c r="A428" s="1">
        <v>45065</v>
      </c>
      <c r="B428" s="2">
        <v>89.1</v>
      </c>
      <c r="C428">
        <v>4037453</v>
      </c>
      <c r="D428" s="2">
        <v>92.5</v>
      </c>
      <c r="E428" s="2">
        <v>92.5</v>
      </c>
      <c r="F428" s="2">
        <v>88.23</v>
      </c>
    </row>
    <row r="429" spans="1:6" x14ac:dyDescent="0.35">
      <c r="A429" s="1">
        <v>45064</v>
      </c>
      <c r="B429" s="2">
        <v>92.39</v>
      </c>
      <c r="C429">
        <v>4320849</v>
      </c>
      <c r="D429" s="2">
        <v>94.64</v>
      </c>
      <c r="E429" s="2">
        <v>94.694000000000003</v>
      </c>
      <c r="F429" s="2">
        <v>90.85</v>
      </c>
    </row>
    <row r="430" spans="1:6" x14ac:dyDescent="0.35">
      <c r="A430" s="1">
        <v>45063</v>
      </c>
      <c r="B430" s="2">
        <v>94.99</v>
      </c>
      <c r="C430">
        <v>3457562</v>
      </c>
      <c r="D430" s="2">
        <v>92.63</v>
      </c>
      <c r="E430" s="2">
        <v>96.49</v>
      </c>
      <c r="F430" s="2">
        <v>91.092600000000004</v>
      </c>
    </row>
    <row r="431" spans="1:6" x14ac:dyDescent="0.35">
      <c r="A431" s="1">
        <v>45062</v>
      </c>
      <c r="B431" s="2">
        <v>92.65</v>
      </c>
      <c r="C431">
        <v>3884919</v>
      </c>
      <c r="D431" s="2">
        <v>95.01</v>
      </c>
      <c r="E431" s="2">
        <v>95.17</v>
      </c>
      <c r="F431" s="2">
        <v>91.34</v>
      </c>
    </row>
    <row r="432" spans="1:6" x14ac:dyDescent="0.35">
      <c r="A432" s="1">
        <v>45061</v>
      </c>
      <c r="B432" s="2">
        <v>97.85</v>
      </c>
      <c r="C432">
        <v>4106319</v>
      </c>
      <c r="D432" s="2">
        <v>94.17</v>
      </c>
      <c r="E432" s="2">
        <v>98.11</v>
      </c>
      <c r="F432" s="2">
        <v>93.500100000000003</v>
      </c>
    </row>
    <row r="433" spans="1:6" x14ac:dyDescent="0.35">
      <c r="A433" s="1">
        <v>45058</v>
      </c>
      <c r="B433" s="2">
        <v>94.68</v>
      </c>
      <c r="C433">
        <v>3788194</v>
      </c>
      <c r="D433" s="2">
        <v>96.61</v>
      </c>
      <c r="E433" s="2">
        <v>97.89</v>
      </c>
      <c r="F433" s="2">
        <v>94.105000000000004</v>
      </c>
    </row>
    <row r="434" spans="1:6" x14ac:dyDescent="0.35">
      <c r="A434" s="1">
        <v>45057</v>
      </c>
      <c r="B434" s="2">
        <v>96.36</v>
      </c>
      <c r="C434">
        <v>2263491</v>
      </c>
      <c r="D434" s="2">
        <v>95.13</v>
      </c>
      <c r="E434" s="2">
        <v>96.56</v>
      </c>
      <c r="F434" s="2">
        <v>94.03</v>
      </c>
    </row>
    <row r="435" spans="1:6" x14ac:dyDescent="0.35">
      <c r="A435" s="1">
        <v>45056</v>
      </c>
      <c r="B435" s="2">
        <v>94.84</v>
      </c>
      <c r="C435">
        <v>2616644</v>
      </c>
      <c r="D435" s="2">
        <v>94.08</v>
      </c>
      <c r="E435" s="2">
        <v>95.68</v>
      </c>
      <c r="F435" s="2">
        <v>92.652199999999993</v>
      </c>
    </row>
    <row r="436" spans="1:6" x14ac:dyDescent="0.35">
      <c r="A436" s="1">
        <v>45055</v>
      </c>
      <c r="B436" s="2">
        <v>92.71</v>
      </c>
      <c r="C436">
        <v>2520257</v>
      </c>
      <c r="D436" s="2">
        <v>91.84</v>
      </c>
      <c r="E436" s="2">
        <v>93.42</v>
      </c>
      <c r="F436" s="2">
        <v>91.618499999999997</v>
      </c>
    </row>
    <row r="437" spans="1:6" x14ac:dyDescent="0.35">
      <c r="A437" s="1">
        <v>45054</v>
      </c>
      <c r="B437" s="2">
        <v>92.78</v>
      </c>
      <c r="C437">
        <v>4802429</v>
      </c>
      <c r="D437" s="2">
        <v>90.13</v>
      </c>
      <c r="E437" s="2">
        <v>95.49</v>
      </c>
      <c r="F437" s="2">
        <v>90.06</v>
      </c>
    </row>
    <row r="438" spans="1:6" x14ac:dyDescent="0.35">
      <c r="A438" s="1">
        <v>45051</v>
      </c>
      <c r="B438" s="2">
        <v>90</v>
      </c>
      <c r="C438">
        <v>6998177</v>
      </c>
      <c r="D438" s="2">
        <v>93.7</v>
      </c>
      <c r="E438" s="2">
        <v>95.864999999999995</v>
      </c>
      <c r="F438" s="2">
        <v>89.14</v>
      </c>
    </row>
    <row r="439" spans="1:6" x14ac:dyDescent="0.35">
      <c r="A439" s="1">
        <v>45050</v>
      </c>
      <c r="B439" s="2">
        <v>92.55</v>
      </c>
      <c r="C439">
        <v>8317879</v>
      </c>
      <c r="D439" s="2">
        <v>96.54</v>
      </c>
      <c r="E439" s="2">
        <v>96.844999999999999</v>
      </c>
      <c r="F439" s="2">
        <v>90.74</v>
      </c>
    </row>
    <row r="440" spans="1:6" x14ac:dyDescent="0.35">
      <c r="A440" s="1">
        <v>45049</v>
      </c>
      <c r="B440" s="2">
        <v>98.965000000000003</v>
      </c>
      <c r="C440">
        <v>6566558</v>
      </c>
      <c r="D440" s="2">
        <v>99.19</v>
      </c>
      <c r="E440" s="2">
        <v>102.31</v>
      </c>
      <c r="F440" s="2">
        <v>98.06</v>
      </c>
    </row>
    <row r="441" spans="1:6" x14ac:dyDescent="0.35">
      <c r="A441" s="1">
        <v>45048</v>
      </c>
      <c r="B441" s="2">
        <v>99.19</v>
      </c>
      <c r="C441">
        <v>3590548</v>
      </c>
      <c r="D441" s="2">
        <v>94.56</v>
      </c>
      <c r="E441" s="2">
        <v>99.64</v>
      </c>
      <c r="F441" s="2">
        <v>94.38</v>
      </c>
    </row>
    <row r="442" spans="1:6" x14ac:dyDescent="0.35">
      <c r="A442" s="1">
        <v>45047</v>
      </c>
      <c r="B442" s="2">
        <v>96.27</v>
      </c>
      <c r="C442">
        <v>3951377</v>
      </c>
      <c r="D442" s="2">
        <v>100.36</v>
      </c>
      <c r="E442" s="2">
        <v>100.91</v>
      </c>
      <c r="F442" s="2">
        <v>95.44</v>
      </c>
    </row>
    <row r="443" spans="1:6" x14ac:dyDescent="0.35">
      <c r="A443" s="1">
        <v>45044</v>
      </c>
      <c r="B443" s="2">
        <v>101.03</v>
      </c>
      <c r="C443">
        <v>2525708</v>
      </c>
      <c r="D443" s="2">
        <v>100.69</v>
      </c>
      <c r="E443" s="2">
        <v>101.2</v>
      </c>
      <c r="F443" s="2">
        <v>98.71</v>
      </c>
    </row>
    <row r="444" spans="1:6" x14ac:dyDescent="0.35">
      <c r="A444" s="1">
        <v>45043</v>
      </c>
      <c r="B444" s="2">
        <v>100.49</v>
      </c>
      <c r="C444">
        <v>3125153</v>
      </c>
      <c r="D444" s="2">
        <v>100.215</v>
      </c>
      <c r="E444" s="2">
        <v>101.38</v>
      </c>
      <c r="F444" s="2">
        <v>99.24</v>
      </c>
    </row>
    <row r="445" spans="1:6" x14ac:dyDescent="0.35">
      <c r="A445" s="1">
        <v>45042</v>
      </c>
      <c r="B445" s="2">
        <v>97.77</v>
      </c>
      <c r="C445">
        <v>2237589</v>
      </c>
      <c r="D445" s="2">
        <v>99.35</v>
      </c>
      <c r="E445" s="2">
        <v>100.64</v>
      </c>
      <c r="F445" s="2">
        <v>97.35</v>
      </c>
    </row>
    <row r="446" spans="1:6" x14ac:dyDescent="0.35">
      <c r="A446" s="1">
        <v>45041</v>
      </c>
      <c r="B446" s="2">
        <v>98.37</v>
      </c>
      <c r="C446">
        <v>2132965</v>
      </c>
      <c r="D446" s="2">
        <v>101.73</v>
      </c>
      <c r="E446" s="2">
        <v>102.32</v>
      </c>
      <c r="F446" s="2">
        <v>98.11</v>
      </c>
    </row>
    <row r="447" spans="1:6" x14ac:dyDescent="0.35">
      <c r="A447" s="1">
        <v>45040</v>
      </c>
      <c r="B447" s="2">
        <v>102.84</v>
      </c>
      <c r="C447">
        <v>2708494</v>
      </c>
      <c r="D447" s="2">
        <v>102.63</v>
      </c>
      <c r="E447" s="2">
        <v>103.25</v>
      </c>
      <c r="F447" s="2">
        <v>101.565</v>
      </c>
    </row>
    <row r="448" spans="1:6" x14ac:dyDescent="0.35">
      <c r="A448" s="1">
        <v>45037</v>
      </c>
      <c r="B448" s="2">
        <v>102.05</v>
      </c>
      <c r="C448">
        <v>2277266</v>
      </c>
      <c r="D448" s="2">
        <v>102.45</v>
      </c>
      <c r="E448" s="2">
        <v>103.17</v>
      </c>
      <c r="F448" s="2">
        <v>101.3368</v>
      </c>
    </row>
    <row r="449" spans="1:6" x14ac:dyDescent="0.35">
      <c r="A449" s="1">
        <v>45036</v>
      </c>
      <c r="B449" s="2">
        <v>102.24</v>
      </c>
      <c r="C449">
        <v>2673885</v>
      </c>
      <c r="D449" s="2">
        <v>100.76</v>
      </c>
      <c r="E449" s="2">
        <v>104.93</v>
      </c>
      <c r="F449" s="2">
        <v>100.6</v>
      </c>
    </row>
    <row r="450" spans="1:6" x14ac:dyDescent="0.35">
      <c r="A450" s="1">
        <v>45035</v>
      </c>
      <c r="B450" s="2">
        <v>102.38</v>
      </c>
      <c r="C450">
        <v>2383822</v>
      </c>
      <c r="D450" s="2">
        <v>100.62</v>
      </c>
      <c r="E450" s="2">
        <v>103.4999</v>
      </c>
      <c r="F450" s="2">
        <v>100.5</v>
      </c>
    </row>
    <row r="451" spans="1:6" x14ac:dyDescent="0.35">
      <c r="A451" s="1">
        <v>45034</v>
      </c>
      <c r="B451" s="2">
        <v>102.17</v>
      </c>
      <c r="C451">
        <v>1973568</v>
      </c>
      <c r="D451" s="2">
        <v>104.25</v>
      </c>
      <c r="E451" s="2">
        <v>104.73</v>
      </c>
      <c r="F451" s="2">
        <v>101.89</v>
      </c>
    </row>
    <row r="452" spans="1:6" x14ac:dyDescent="0.35">
      <c r="A452" s="1">
        <v>45033</v>
      </c>
      <c r="B452" s="2">
        <v>103.12</v>
      </c>
      <c r="C452">
        <v>1824646</v>
      </c>
      <c r="D452" s="2">
        <v>102.49</v>
      </c>
      <c r="E452" s="2">
        <v>103.55</v>
      </c>
      <c r="F452" s="2">
        <v>102.075</v>
      </c>
    </row>
    <row r="453" spans="1:6" x14ac:dyDescent="0.35">
      <c r="A453" s="1">
        <v>45030</v>
      </c>
      <c r="B453" s="2">
        <v>102.53</v>
      </c>
      <c r="C453">
        <v>2749848</v>
      </c>
      <c r="D453" s="2">
        <v>100.34</v>
      </c>
      <c r="E453" s="2">
        <v>103.63</v>
      </c>
      <c r="F453" s="2">
        <v>99.67</v>
      </c>
    </row>
    <row r="454" spans="1:6" x14ac:dyDescent="0.35">
      <c r="A454" s="1">
        <v>45029</v>
      </c>
      <c r="B454" s="2">
        <v>100.72</v>
      </c>
      <c r="C454">
        <v>2788188</v>
      </c>
      <c r="D454" s="2">
        <v>101.5</v>
      </c>
      <c r="E454" s="2">
        <v>101.9889</v>
      </c>
      <c r="F454" s="2">
        <v>99.79</v>
      </c>
    </row>
    <row r="455" spans="1:6" x14ac:dyDescent="0.35">
      <c r="A455" s="1">
        <v>45028</v>
      </c>
      <c r="B455" s="2">
        <v>100.16</v>
      </c>
      <c r="C455">
        <v>2887288</v>
      </c>
      <c r="D455" s="2">
        <v>105.224</v>
      </c>
      <c r="E455" s="2">
        <v>105.29</v>
      </c>
      <c r="F455" s="2">
        <v>99.41</v>
      </c>
    </row>
    <row r="456" spans="1:6" x14ac:dyDescent="0.35">
      <c r="A456" s="1">
        <v>45027</v>
      </c>
      <c r="B456" s="2">
        <v>103.64</v>
      </c>
      <c r="C456">
        <v>1903396</v>
      </c>
      <c r="D456" s="2">
        <v>102.74</v>
      </c>
      <c r="E456" s="2">
        <v>104.67</v>
      </c>
      <c r="F456" s="2">
        <v>101.81</v>
      </c>
    </row>
    <row r="457" spans="1:6" x14ac:dyDescent="0.35">
      <c r="A457" s="1">
        <v>45026</v>
      </c>
      <c r="B457" s="2">
        <v>103.04</v>
      </c>
      <c r="C457">
        <v>2787294</v>
      </c>
      <c r="D457" s="2">
        <v>103.64</v>
      </c>
      <c r="E457" s="2">
        <v>104.36</v>
      </c>
      <c r="F457" s="2">
        <v>101.66</v>
      </c>
    </row>
    <row r="458" spans="1:6" x14ac:dyDescent="0.35">
      <c r="A458" s="1">
        <v>45022</v>
      </c>
      <c r="B458" s="2">
        <v>104.06</v>
      </c>
      <c r="C458">
        <v>3123794</v>
      </c>
      <c r="D458" s="2">
        <v>103.96</v>
      </c>
      <c r="E458" s="2">
        <v>104.72499999999999</v>
      </c>
      <c r="F458" s="2">
        <v>100.74</v>
      </c>
    </row>
    <row r="459" spans="1:6" x14ac:dyDescent="0.35">
      <c r="A459" s="1">
        <v>45021</v>
      </c>
      <c r="B459" s="2">
        <v>105.27</v>
      </c>
      <c r="C459">
        <v>2723480</v>
      </c>
      <c r="D459" s="2">
        <v>108.72</v>
      </c>
      <c r="E459" s="2">
        <v>108.7957</v>
      </c>
      <c r="F459" s="2">
        <v>104.4</v>
      </c>
    </row>
    <row r="460" spans="1:6" x14ac:dyDescent="0.35">
      <c r="A460" s="1">
        <v>45020</v>
      </c>
      <c r="B460" s="2">
        <v>109.64</v>
      </c>
      <c r="C460">
        <v>4973456</v>
      </c>
      <c r="D460" s="2">
        <v>114.71</v>
      </c>
      <c r="E460" s="2">
        <v>114.73</v>
      </c>
      <c r="F460" s="2">
        <v>109.295</v>
      </c>
    </row>
    <row r="461" spans="1:6" x14ac:dyDescent="0.35">
      <c r="A461" s="1">
        <v>45019</v>
      </c>
      <c r="B461" s="2">
        <v>108.25</v>
      </c>
      <c r="C461">
        <v>2409968</v>
      </c>
      <c r="D461" s="2">
        <v>110.45</v>
      </c>
      <c r="E461" s="2">
        <v>110.715</v>
      </c>
      <c r="F461" s="2">
        <v>105.88</v>
      </c>
    </row>
    <row r="462" spans="1:6" x14ac:dyDescent="0.35">
      <c r="A462" s="1">
        <v>45016</v>
      </c>
      <c r="B462" s="2">
        <v>111.33</v>
      </c>
      <c r="C462">
        <v>2673429</v>
      </c>
      <c r="D462" s="2">
        <v>109.21</v>
      </c>
      <c r="E462" s="2">
        <v>111.61</v>
      </c>
      <c r="F462" s="2">
        <v>108.61</v>
      </c>
    </row>
    <row r="463" spans="1:6" x14ac:dyDescent="0.35">
      <c r="A463" s="1">
        <v>45015</v>
      </c>
      <c r="B463" s="2">
        <v>108.78</v>
      </c>
      <c r="C463">
        <v>2384929</v>
      </c>
      <c r="D463" s="2">
        <v>109.99</v>
      </c>
      <c r="E463" s="2">
        <v>110.965</v>
      </c>
      <c r="F463" s="2">
        <v>107.88</v>
      </c>
    </row>
    <row r="464" spans="1:6" x14ac:dyDescent="0.35">
      <c r="A464" s="1">
        <v>45014</v>
      </c>
      <c r="B464" s="2">
        <v>107.67</v>
      </c>
      <c r="C464">
        <v>1635805</v>
      </c>
      <c r="D464" s="2">
        <v>106.46</v>
      </c>
      <c r="E464" s="2">
        <v>107.81</v>
      </c>
      <c r="F464" s="2">
        <v>105.18</v>
      </c>
    </row>
    <row r="465" spans="1:6" x14ac:dyDescent="0.35">
      <c r="A465" s="1">
        <v>45013</v>
      </c>
      <c r="B465" s="2">
        <v>105.06</v>
      </c>
      <c r="C465">
        <v>2012083</v>
      </c>
      <c r="D465" s="2">
        <v>105.61</v>
      </c>
      <c r="E465" s="2">
        <v>107.18</v>
      </c>
      <c r="F465" s="2">
        <v>104.94</v>
      </c>
    </row>
    <row r="466" spans="1:6" x14ac:dyDescent="0.35">
      <c r="A466" s="1">
        <v>45012</v>
      </c>
      <c r="B466" s="2">
        <v>104.88</v>
      </c>
      <c r="C466">
        <v>3083917</v>
      </c>
      <c r="D466" s="2">
        <v>107.45</v>
      </c>
      <c r="E466" s="2">
        <v>107.45</v>
      </c>
      <c r="F466" s="2">
        <v>103.24</v>
      </c>
    </row>
    <row r="467" spans="1:6" x14ac:dyDescent="0.35">
      <c r="A467" s="1">
        <v>45009</v>
      </c>
      <c r="B467" s="2">
        <v>106.85</v>
      </c>
      <c r="C467">
        <v>2769985</v>
      </c>
      <c r="D467" s="2">
        <v>109</v>
      </c>
      <c r="E467" s="2">
        <v>109.1161</v>
      </c>
      <c r="F467" s="2">
        <v>105.11</v>
      </c>
    </row>
    <row r="468" spans="1:6" x14ac:dyDescent="0.35">
      <c r="A468" s="1">
        <v>45008</v>
      </c>
      <c r="B468" s="2">
        <v>110.09</v>
      </c>
      <c r="C468">
        <v>3518107</v>
      </c>
      <c r="D468" s="2">
        <v>113.28</v>
      </c>
      <c r="E468" s="2">
        <v>116.15</v>
      </c>
      <c r="F468" s="2">
        <v>109.68</v>
      </c>
    </row>
    <row r="469" spans="1:6" x14ac:dyDescent="0.35">
      <c r="A469" s="1">
        <v>45007</v>
      </c>
      <c r="B469" s="2">
        <v>110.96</v>
      </c>
      <c r="C469">
        <v>2539879</v>
      </c>
      <c r="D469" s="2">
        <v>113.34</v>
      </c>
      <c r="E469" s="2">
        <v>115.29989999999999</v>
      </c>
      <c r="F469" s="2">
        <v>110.82</v>
      </c>
    </row>
    <row r="470" spans="1:6" x14ac:dyDescent="0.35">
      <c r="A470" s="1">
        <v>45006</v>
      </c>
      <c r="B470" s="2">
        <v>112.71</v>
      </c>
      <c r="C470">
        <v>3455981</v>
      </c>
      <c r="D470" s="2">
        <v>109.95</v>
      </c>
      <c r="E470" s="2">
        <v>113.12</v>
      </c>
      <c r="F470" s="2">
        <v>109.43989999999999</v>
      </c>
    </row>
    <row r="471" spans="1:6" x14ac:dyDescent="0.35">
      <c r="A471" s="1">
        <v>45005</v>
      </c>
      <c r="B471" s="2">
        <v>108.36</v>
      </c>
      <c r="C471">
        <v>3988229</v>
      </c>
      <c r="D471" s="2">
        <v>104.43</v>
      </c>
      <c r="E471" s="2">
        <v>108.605</v>
      </c>
      <c r="F471" s="2">
        <v>103.34</v>
      </c>
    </row>
    <row r="472" spans="1:6" x14ac:dyDescent="0.35">
      <c r="A472" s="1">
        <v>45002</v>
      </c>
      <c r="B472" s="2">
        <v>105.34</v>
      </c>
      <c r="C472">
        <v>3176030</v>
      </c>
      <c r="D472" s="2">
        <v>104.04</v>
      </c>
      <c r="E472" s="2">
        <v>105.84</v>
      </c>
      <c r="F472" s="2">
        <v>103.39</v>
      </c>
    </row>
    <row r="473" spans="1:6" x14ac:dyDescent="0.35">
      <c r="A473" s="1">
        <v>45001</v>
      </c>
      <c r="B473" s="2">
        <v>104.43</v>
      </c>
      <c r="C473">
        <v>3549791</v>
      </c>
      <c r="D473" s="2">
        <v>102.82</v>
      </c>
      <c r="E473" s="2">
        <v>105.21</v>
      </c>
      <c r="F473" s="2">
        <v>101.11</v>
      </c>
    </row>
    <row r="474" spans="1:6" x14ac:dyDescent="0.35">
      <c r="A474" s="1">
        <v>45000</v>
      </c>
      <c r="B474" s="2">
        <v>104.74</v>
      </c>
      <c r="C474">
        <v>3586698</v>
      </c>
      <c r="D474" s="2">
        <v>101.73</v>
      </c>
      <c r="E474" s="2">
        <v>105.1999</v>
      </c>
      <c r="F474" s="2">
        <v>100.16</v>
      </c>
    </row>
    <row r="475" spans="1:6" x14ac:dyDescent="0.35">
      <c r="A475" s="1">
        <v>44999</v>
      </c>
      <c r="B475" s="2">
        <v>102.79</v>
      </c>
      <c r="C475">
        <v>3300693</v>
      </c>
      <c r="D475" s="2">
        <v>106.755</v>
      </c>
      <c r="E475" s="2">
        <v>107</v>
      </c>
      <c r="F475" s="2">
        <v>101.1499</v>
      </c>
    </row>
    <row r="476" spans="1:6" x14ac:dyDescent="0.35">
      <c r="A476" s="1">
        <v>44998</v>
      </c>
      <c r="B476" s="2">
        <v>103.71</v>
      </c>
      <c r="C476">
        <v>5646036</v>
      </c>
      <c r="D476" s="2">
        <v>103.015</v>
      </c>
      <c r="E476" s="2">
        <v>106.37</v>
      </c>
      <c r="F476" s="2">
        <v>99.24</v>
      </c>
    </row>
    <row r="477" spans="1:6" x14ac:dyDescent="0.35">
      <c r="A477" s="1">
        <v>44995</v>
      </c>
      <c r="B477" s="2">
        <v>105.98</v>
      </c>
      <c r="C477">
        <v>4762006</v>
      </c>
      <c r="D477" s="2">
        <v>107.34</v>
      </c>
      <c r="E477" s="2">
        <v>107.745</v>
      </c>
      <c r="F477" s="2">
        <v>103.46</v>
      </c>
    </row>
    <row r="478" spans="1:6" x14ac:dyDescent="0.35">
      <c r="A478" s="1">
        <v>44994</v>
      </c>
      <c r="B478" s="2">
        <v>107.74</v>
      </c>
      <c r="C478">
        <v>6967534</v>
      </c>
      <c r="D478" s="2">
        <v>107.4</v>
      </c>
      <c r="E478" s="2">
        <v>110.41</v>
      </c>
      <c r="F478" s="2">
        <v>105.14</v>
      </c>
    </row>
    <row r="479" spans="1:6" x14ac:dyDescent="0.35">
      <c r="A479" s="1">
        <v>44993</v>
      </c>
      <c r="B479" s="2">
        <v>113.18</v>
      </c>
      <c r="C479">
        <v>7098123</v>
      </c>
      <c r="D479" s="2">
        <v>112.67</v>
      </c>
      <c r="E479" s="2">
        <v>113.32</v>
      </c>
      <c r="F479" s="2">
        <v>107.96</v>
      </c>
    </row>
    <row r="480" spans="1:6" x14ac:dyDescent="0.35">
      <c r="A480" s="1">
        <v>44992</v>
      </c>
      <c r="B480" s="2">
        <v>115.89</v>
      </c>
      <c r="C480">
        <v>3927468</v>
      </c>
      <c r="D480" s="2">
        <v>119.09</v>
      </c>
      <c r="E480" s="2">
        <v>122.5095</v>
      </c>
      <c r="F480" s="2">
        <v>114.8201</v>
      </c>
    </row>
    <row r="481" spans="1:6" x14ac:dyDescent="0.35">
      <c r="A481" s="1">
        <v>44991</v>
      </c>
      <c r="B481" s="2">
        <v>118.78</v>
      </c>
      <c r="C481">
        <v>2843557</v>
      </c>
      <c r="D481" s="2">
        <v>122.05</v>
      </c>
      <c r="E481" s="2">
        <v>122.41</v>
      </c>
      <c r="F481" s="2">
        <v>118.58</v>
      </c>
    </row>
    <row r="482" spans="1:6" x14ac:dyDescent="0.35">
      <c r="A482" s="1">
        <v>44988</v>
      </c>
      <c r="B482" s="2">
        <v>121.42</v>
      </c>
      <c r="C482">
        <v>2997769</v>
      </c>
      <c r="D482" s="2">
        <v>119.38</v>
      </c>
      <c r="E482" s="2">
        <v>122.4</v>
      </c>
      <c r="F482" s="2">
        <v>119.005</v>
      </c>
    </row>
    <row r="483" spans="1:6" x14ac:dyDescent="0.35">
      <c r="A483" s="1">
        <v>44987</v>
      </c>
      <c r="B483" s="2">
        <v>118.46</v>
      </c>
      <c r="C483">
        <v>2951664</v>
      </c>
      <c r="D483" s="2">
        <v>117.05</v>
      </c>
      <c r="E483" s="2">
        <v>119.72</v>
      </c>
      <c r="F483" s="2">
        <v>116.51</v>
      </c>
    </row>
    <row r="484" spans="1:6" x14ac:dyDescent="0.35">
      <c r="A484" s="1">
        <v>44986</v>
      </c>
      <c r="B484" s="2">
        <v>118.28</v>
      </c>
      <c r="C484">
        <v>3440624</v>
      </c>
      <c r="D484" s="2">
        <v>120.53</v>
      </c>
      <c r="E484" s="2">
        <v>121.07</v>
      </c>
      <c r="F484" s="2">
        <v>116.27079999999999</v>
      </c>
    </row>
    <row r="485" spans="1:6" x14ac:dyDescent="0.35">
      <c r="A485" s="1">
        <v>44985</v>
      </c>
      <c r="B485" s="2">
        <v>121.41</v>
      </c>
      <c r="C485">
        <v>1886779</v>
      </c>
      <c r="D485" s="2">
        <v>121.4</v>
      </c>
      <c r="E485" s="2">
        <v>123.28</v>
      </c>
      <c r="F485" s="2">
        <v>120.08</v>
      </c>
    </row>
    <row r="486" spans="1:6" x14ac:dyDescent="0.35">
      <c r="A486" s="1">
        <v>44984</v>
      </c>
      <c r="B486" s="2">
        <v>120.6</v>
      </c>
      <c r="C486">
        <v>3736721</v>
      </c>
      <c r="D486" s="2">
        <v>123.84</v>
      </c>
      <c r="E486" s="2">
        <v>124.4</v>
      </c>
      <c r="F486" s="2">
        <v>119.74</v>
      </c>
    </row>
    <row r="487" spans="1:6" x14ac:dyDescent="0.35">
      <c r="A487" s="1">
        <v>44981</v>
      </c>
      <c r="B487" s="2">
        <v>124.105</v>
      </c>
      <c r="C487">
        <v>3577230</v>
      </c>
      <c r="D487" s="2">
        <v>127.89</v>
      </c>
      <c r="E487" s="2">
        <v>129.05000000000001</v>
      </c>
      <c r="F487" s="2">
        <v>123.58</v>
      </c>
    </row>
    <row r="488" spans="1:6" x14ac:dyDescent="0.35">
      <c r="A488" s="1">
        <v>44980</v>
      </c>
      <c r="B488" s="2">
        <v>131.58000000000001</v>
      </c>
      <c r="C488">
        <v>8601146</v>
      </c>
      <c r="D488" s="2">
        <v>131.827</v>
      </c>
      <c r="E488" s="2">
        <v>133.49</v>
      </c>
      <c r="F488" s="2">
        <v>120.21</v>
      </c>
    </row>
    <row r="489" spans="1:6" x14ac:dyDescent="0.35">
      <c r="A489" s="1">
        <v>44979</v>
      </c>
      <c r="B489" s="2">
        <v>128.44999999999999</v>
      </c>
      <c r="C489">
        <v>5040872</v>
      </c>
      <c r="D489" s="2">
        <v>125.425</v>
      </c>
      <c r="E489" s="2">
        <v>129.24950000000001</v>
      </c>
      <c r="F489" s="2">
        <v>124.435</v>
      </c>
    </row>
    <row r="490" spans="1:6" x14ac:dyDescent="0.35">
      <c r="A490" s="1">
        <v>44978</v>
      </c>
      <c r="B490" s="2">
        <v>124.845</v>
      </c>
      <c r="C490">
        <v>3415630</v>
      </c>
      <c r="D490" s="2">
        <v>126.76</v>
      </c>
      <c r="E490" s="2">
        <v>131.33000000000001</v>
      </c>
      <c r="F490" s="2">
        <v>124.36</v>
      </c>
    </row>
    <row r="491" spans="1:6" x14ac:dyDescent="0.35">
      <c r="A491" s="1">
        <v>44974</v>
      </c>
      <c r="B491" s="2">
        <v>129.68</v>
      </c>
      <c r="C491">
        <v>4314098</v>
      </c>
      <c r="D491" s="2">
        <v>130.4</v>
      </c>
      <c r="E491" s="2">
        <v>131.46</v>
      </c>
      <c r="F491" s="2">
        <v>127.1583</v>
      </c>
    </row>
    <row r="492" spans="1:6" x14ac:dyDescent="0.35">
      <c r="A492" s="1">
        <v>44973</v>
      </c>
      <c r="B492" s="2">
        <v>130.31</v>
      </c>
      <c r="C492">
        <v>5292783</v>
      </c>
      <c r="D492" s="2">
        <v>138.34</v>
      </c>
      <c r="E492" s="2">
        <v>140.16</v>
      </c>
      <c r="F492" s="2">
        <v>129.91999999999999</v>
      </c>
    </row>
    <row r="493" spans="1:6" x14ac:dyDescent="0.35">
      <c r="A493" s="1">
        <v>44972</v>
      </c>
      <c r="B493" s="2">
        <v>142.26</v>
      </c>
      <c r="C493">
        <v>3058132</v>
      </c>
      <c r="D493" s="2">
        <v>133</v>
      </c>
      <c r="E493" s="2">
        <v>143.15</v>
      </c>
      <c r="F493" s="2">
        <v>132.79</v>
      </c>
    </row>
    <row r="494" spans="1:6" x14ac:dyDescent="0.35">
      <c r="A494" s="1">
        <v>44971</v>
      </c>
      <c r="B494" s="2">
        <v>133.75</v>
      </c>
      <c r="C494">
        <v>2331779</v>
      </c>
      <c r="D494" s="2">
        <v>134.11000000000001</v>
      </c>
      <c r="E494" s="2">
        <v>137.41999999999999</v>
      </c>
      <c r="F494" s="2">
        <v>130.99</v>
      </c>
    </row>
    <row r="495" spans="1:6" x14ac:dyDescent="0.35">
      <c r="A495" s="1">
        <v>44970</v>
      </c>
      <c r="B495" s="2">
        <v>134.75</v>
      </c>
      <c r="C495">
        <v>2517299</v>
      </c>
      <c r="D495" s="2">
        <v>131.99</v>
      </c>
      <c r="E495" s="2">
        <v>136.25</v>
      </c>
      <c r="F495" s="2">
        <v>128.57</v>
      </c>
    </row>
    <row r="496" spans="1:6" x14ac:dyDescent="0.35">
      <c r="A496" s="1">
        <v>44967</v>
      </c>
      <c r="B496" s="2">
        <v>132.13</v>
      </c>
      <c r="C496">
        <v>2868030</v>
      </c>
      <c r="D496" s="2">
        <v>136.14500000000001</v>
      </c>
      <c r="E496" s="2">
        <v>136.34</v>
      </c>
      <c r="F496" s="2">
        <v>131.21</v>
      </c>
    </row>
    <row r="497" spans="1:6" x14ac:dyDescent="0.35">
      <c r="A497" s="1">
        <v>44966</v>
      </c>
      <c r="B497" s="2">
        <v>137.56</v>
      </c>
      <c r="C497">
        <v>2489883</v>
      </c>
      <c r="D497" s="2">
        <v>145.19999999999999</v>
      </c>
      <c r="E497" s="2">
        <v>145.51499999999999</v>
      </c>
      <c r="F497" s="2">
        <v>137.02000000000001</v>
      </c>
    </row>
    <row r="498" spans="1:6" x14ac:dyDescent="0.35">
      <c r="A498" s="1">
        <v>44965</v>
      </c>
      <c r="B498" s="2">
        <v>144.02000000000001</v>
      </c>
      <c r="C498">
        <v>1473188</v>
      </c>
      <c r="D498" s="2">
        <v>144.28</v>
      </c>
      <c r="E498" s="2">
        <v>145.74</v>
      </c>
      <c r="F498" s="2">
        <v>142.21</v>
      </c>
    </row>
    <row r="499" spans="1:6" x14ac:dyDescent="0.35">
      <c r="A499" s="1">
        <v>44964</v>
      </c>
      <c r="B499" s="2">
        <v>145.03</v>
      </c>
      <c r="C499">
        <v>1706784</v>
      </c>
      <c r="D499" s="2">
        <v>144</v>
      </c>
      <c r="E499" s="2">
        <v>145.68</v>
      </c>
      <c r="F499" s="2">
        <v>139.69999999999999</v>
      </c>
    </row>
    <row r="500" spans="1:6" x14ac:dyDescent="0.35">
      <c r="A500" s="1">
        <v>44963</v>
      </c>
      <c r="B500" s="2">
        <v>144.54</v>
      </c>
      <c r="C500">
        <v>1394760</v>
      </c>
      <c r="D500" s="2">
        <v>145.56</v>
      </c>
      <c r="E500" s="2">
        <v>147.78880000000001</v>
      </c>
      <c r="F500" s="2">
        <v>143.82</v>
      </c>
    </row>
    <row r="501" spans="1:6" x14ac:dyDescent="0.35">
      <c r="A501" s="1">
        <v>44960</v>
      </c>
      <c r="B501" s="2">
        <v>147.5</v>
      </c>
      <c r="C501">
        <v>2686522</v>
      </c>
      <c r="D501" s="2">
        <v>143.30000000000001</v>
      </c>
      <c r="E501" s="2">
        <v>149.91</v>
      </c>
      <c r="F501" s="2">
        <v>142.41999999999999</v>
      </c>
    </row>
    <row r="502" spans="1:6" x14ac:dyDescent="0.35">
      <c r="A502" s="1">
        <v>44959</v>
      </c>
      <c r="B502" s="2">
        <v>148.19999999999999</v>
      </c>
      <c r="C502">
        <v>3777186</v>
      </c>
      <c r="D502" s="2">
        <v>143</v>
      </c>
      <c r="E502" s="2">
        <v>148.22999999999999</v>
      </c>
      <c r="F502" s="2">
        <v>142.13999999999999</v>
      </c>
    </row>
    <row r="503" spans="1:6" x14ac:dyDescent="0.35">
      <c r="A503" s="1">
        <v>44958</v>
      </c>
      <c r="B503" s="2">
        <v>139.58000000000001</v>
      </c>
      <c r="C503">
        <v>3181753</v>
      </c>
      <c r="D503" s="2">
        <v>137.58000000000001</v>
      </c>
      <c r="E503" s="2">
        <v>140.46</v>
      </c>
      <c r="F503" s="2">
        <v>134.12</v>
      </c>
    </row>
    <row r="504" spans="1:6" x14ac:dyDescent="0.35">
      <c r="A504" s="1">
        <v>44957</v>
      </c>
      <c r="B504" s="2">
        <v>137.58000000000001</v>
      </c>
      <c r="C504">
        <v>2143940</v>
      </c>
      <c r="D504" s="2">
        <v>135.6</v>
      </c>
      <c r="E504" s="2">
        <v>139.08000000000001</v>
      </c>
      <c r="F504" s="2">
        <v>135.6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5370C9-3EBA-4FDC-B460-DD2FDDA29435}">
  <dimension ref="A1:F504"/>
  <sheetViews>
    <sheetView tabSelected="1" topLeftCell="A7" workbookViewId="0">
      <selection activeCell="D14" sqref="D14"/>
    </sheetView>
  </sheetViews>
  <sheetFormatPr defaultRowHeight="14.5" x14ac:dyDescent="0.35"/>
  <cols>
    <col min="1" max="1" width="10.08984375" bestFit="1" customWidth="1"/>
    <col min="2" max="2" width="9.54296875" bestFit="1" customWidth="1"/>
  </cols>
  <sheetData>
    <row r="1" spans="1:6" x14ac:dyDescent="0.35">
      <c r="A1" t="s">
        <v>0</v>
      </c>
      <c r="B1" t="s">
        <v>1</v>
      </c>
      <c r="C1" t="s">
        <v>12</v>
      </c>
      <c r="D1" s="4" t="s">
        <v>13</v>
      </c>
      <c r="E1" s="4" t="s">
        <v>14</v>
      </c>
      <c r="F1" s="4" t="s">
        <v>15</v>
      </c>
    </row>
    <row r="2" spans="1:6" x14ac:dyDescent="0.35">
      <c r="A2" s="1">
        <v>45688</v>
      </c>
      <c r="B2" s="2">
        <v>54.91</v>
      </c>
    </row>
    <row r="3" spans="1:6" x14ac:dyDescent="0.35">
      <c r="A3" s="1">
        <v>45687</v>
      </c>
      <c r="B3" s="2">
        <v>56.06</v>
      </c>
    </row>
    <row r="4" spans="1:6" x14ac:dyDescent="0.35">
      <c r="A4" s="1">
        <v>45686</v>
      </c>
      <c r="B4" s="2">
        <v>55.05</v>
      </c>
    </row>
    <row r="5" spans="1:6" x14ac:dyDescent="0.35">
      <c r="A5" s="1">
        <v>45685</v>
      </c>
      <c r="B5" s="2">
        <v>55.79</v>
      </c>
    </row>
    <row r="6" spans="1:6" x14ac:dyDescent="0.35">
      <c r="A6" s="1">
        <v>45684</v>
      </c>
      <c r="B6" s="2">
        <v>53.45</v>
      </c>
    </row>
    <row r="7" spans="1:6" x14ac:dyDescent="0.35">
      <c r="A7" s="1">
        <v>45681</v>
      </c>
      <c r="B7" s="2">
        <v>52.23</v>
      </c>
    </row>
    <row r="8" spans="1:6" x14ac:dyDescent="0.35">
      <c r="A8" s="1">
        <v>45680</v>
      </c>
      <c r="B8" s="2">
        <v>53.09</v>
      </c>
    </row>
    <row r="9" spans="1:6" x14ac:dyDescent="0.35">
      <c r="A9" s="1">
        <v>45679</v>
      </c>
      <c r="B9" s="2">
        <v>52.25</v>
      </c>
    </row>
    <row r="10" spans="1:6" x14ac:dyDescent="0.35">
      <c r="A10" s="1">
        <v>45678</v>
      </c>
      <c r="B10" s="2">
        <v>52.05</v>
      </c>
    </row>
    <row r="11" spans="1:6" x14ac:dyDescent="0.35">
      <c r="A11" s="1">
        <v>45674</v>
      </c>
      <c r="B11" s="2">
        <v>53.12</v>
      </c>
    </row>
    <row r="12" spans="1:6" x14ac:dyDescent="0.35">
      <c r="A12" s="1">
        <v>45673</v>
      </c>
      <c r="B12" s="2">
        <v>52.72</v>
      </c>
    </row>
    <row r="13" spans="1:6" x14ac:dyDescent="0.35">
      <c r="A13" s="1">
        <v>45672</v>
      </c>
      <c r="B13" s="2">
        <v>53.27</v>
      </c>
    </row>
    <row r="14" spans="1:6" x14ac:dyDescent="0.35">
      <c r="A14" s="1">
        <v>45671</v>
      </c>
      <c r="B14" s="2">
        <v>53.41</v>
      </c>
    </row>
    <row r="15" spans="1:6" x14ac:dyDescent="0.35">
      <c r="A15" s="1">
        <v>45670</v>
      </c>
      <c r="B15" s="2">
        <v>53.45</v>
      </c>
    </row>
    <row r="16" spans="1:6" x14ac:dyDescent="0.35">
      <c r="A16" s="1">
        <v>45667</v>
      </c>
      <c r="B16" s="2">
        <v>52.57</v>
      </c>
    </row>
    <row r="17" spans="1:6" x14ac:dyDescent="0.35">
      <c r="A17" s="1">
        <v>45665</v>
      </c>
      <c r="B17" s="2">
        <v>53.42</v>
      </c>
    </row>
    <row r="18" spans="1:6" x14ac:dyDescent="0.35">
      <c r="A18" s="1">
        <v>45664</v>
      </c>
      <c r="B18" s="2">
        <v>53.98</v>
      </c>
    </row>
    <row r="19" spans="1:6" x14ac:dyDescent="0.35">
      <c r="A19" s="1">
        <v>45663</v>
      </c>
      <c r="B19" s="2">
        <v>56.61</v>
      </c>
    </row>
    <row r="20" spans="1:6" x14ac:dyDescent="0.35">
      <c r="A20" s="1">
        <v>45660</v>
      </c>
      <c r="B20" s="2">
        <v>53.9</v>
      </c>
    </row>
    <row r="21" spans="1:6" x14ac:dyDescent="0.35">
      <c r="A21" s="1">
        <v>45659</v>
      </c>
      <c r="B21" s="2">
        <v>53.11</v>
      </c>
      <c r="C21" s="4">
        <f>AVERAGE(B2:B21)</f>
        <v>53.722000000000001</v>
      </c>
      <c r="D21" s="4">
        <f>_xlfn.STDEV.P(B2:B21)</f>
        <v>1.2758001410879369</v>
      </c>
      <c r="E21" s="4">
        <f>C21-2*D21</f>
        <v>51.170399717824125</v>
      </c>
      <c r="F21" s="4">
        <f>C21+2*D21</f>
        <v>56.273600282175877</v>
      </c>
    </row>
    <row r="22" spans="1:6" x14ac:dyDescent="0.35">
      <c r="A22" s="1">
        <v>45657</v>
      </c>
      <c r="B22" s="2">
        <v>52.89</v>
      </c>
      <c r="C22" s="4">
        <f t="shared" ref="C22:C85" si="0">AVERAGE(B3:B22)</f>
        <v>53.621000000000002</v>
      </c>
      <c r="D22" s="4">
        <f t="shared" ref="D22:D85" si="1">_xlfn.STDEV.P(B3:B22)</f>
        <v>1.2575806137182619</v>
      </c>
      <c r="E22" s="4">
        <f t="shared" ref="E22:E85" si="2">C22-2*D22</f>
        <v>51.10583877256348</v>
      </c>
      <c r="F22" s="4">
        <f t="shared" ref="F22:F85" si="3">C22+2*D22</f>
        <v>56.136161227436524</v>
      </c>
    </row>
    <row r="23" spans="1:6" x14ac:dyDescent="0.35">
      <c r="A23" s="1">
        <v>45656</v>
      </c>
      <c r="B23" s="2">
        <v>53.83</v>
      </c>
      <c r="C23" s="4">
        <f t="shared" si="0"/>
        <v>53.509500000000003</v>
      </c>
      <c r="D23" s="4">
        <f t="shared" si="1"/>
        <v>1.128638449637438</v>
      </c>
      <c r="E23" s="4">
        <f t="shared" si="2"/>
        <v>51.252223100725125</v>
      </c>
      <c r="F23" s="4">
        <f t="shared" si="3"/>
        <v>55.76677689927488</v>
      </c>
    </row>
    <row r="24" spans="1:6" x14ac:dyDescent="0.35">
      <c r="A24" s="1">
        <v>45653</v>
      </c>
      <c r="B24" s="2">
        <v>52.71</v>
      </c>
      <c r="C24" s="4">
        <f t="shared" si="0"/>
        <v>53.392500000000005</v>
      </c>
      <c r="D24" s="4">
        <f t="shared" si="1"/>
        <v>1.0832537791302645</v>
      </c>
      <c r="E24" s="4">
        <f t="shared" si="2"/>
        <v>51.225992441739479</v>
      </c>
      <c r="F24" s="4">
        <f t="shared" si="3"/>
        <v>55.559007558260532</v>
      </c>
    </row>
    <row r="25" spans="1:6" x14ac:dyDescent="0.35">
      <c r="A25" s="1">
        <v>45652</v>
      </c>
      <c r="B25" s="2">
        <v>53.84</v>
      </c>
      <c r="C25" s="4">
        <f t="shared" si="0"/>
        <v>53.295000000000002</v>
      </c>
      <c r="D25" s="4">
        <f t="shared" si="1"/>
        <v>0.9415651862723049</v>
      </c>
      <c r="E25" s="4">
        <f t="shared" si="2"/>
        <v>51.411869627455388</v>
      </c>
      <c r="F25" s="4">
        <f t="shared" si="3"/>
        <v>55.178130372544615</v>
      </c>
    </row>
    <row r="26" spans="1:6" x14ac:dyDescent="0.35">
      <c r="A26" s="1">
        <v>45650</v>
      </c>
      <c r="B26" s="2">
        <v>55.13</v>
      </c>
      <c r="C26" s="4">
        <f t="shared" si="0"/>
        <v>53.379000000000005</v>
      </c>
      <c r="D26" s="4">
        <f t="shared" si="1"/>
        <v>1.0230586493451883</v>
      </c>
      <c r="E26" s="4">
        <f t="shared" si="2"/>
        <v>51.332882701309629</v>
      </c>
      <c r="F26" s="4">
        <f t="shared" si="3"/>
        <v>55.425117298690381</v>
      </c>
    </row>
    <row r="27" spans="1:6" x14ac:dyDescent="0.35">
      <c r="A27" s="1">
        <v>45649</v>
      </c>
      <c r="B27" s="2">
        <v>55.44</v>
      </c>
      <c r="C27" s="4">
        <f t="shared" si="0"/>
        <v>53.539499999999997</v>
      </c>
      <c r="D27" s="4">
        <f t="shared" si="1"/>
        <v>1.0804002730469853</v>
      </c>
      <c r="E27" s="4">
        <f t="shared" si="2"/>
        <v>51.378699453906023</v>
      </c>
      <c r="F27" s="4">
        <f t="shared" si="3"/>
        <v>55.70030054609397</v>
      </c>
    </row>
    <row r="28" spans="1:6" x14ac:dyDescent="0.35">
      <c r="A28" s="1">
        <v>45646</v>
      </c>
      <c r="B28" s="2">
        <v>56.81</v>
      </c>
      <c r="C28" s="4">
        <f t="shared" si="0"/>
        <v>53.725499999999997</v>
      </c>
      <c r="D28" s="4">
        <f t="shared" si="1"/>
        <v>1.2873906749701123</v>
      </c>
      <c r="E28" s="4">
        <f t="shared" si="2"/>
        <v>51.150718650059773</v>
      </c>
      <c r="F28" s="4">
        <f t="shared" si="3"/>
        <v>56.300281349940221</v>
      </c>
    </row>
    <row r="29" spans="1:6" x14ac:dyDescent="0.35">
      <c r="A29" s="1">
        <v>45645</v>
      </c>
      <c r="B29" s="2">
        <v>57.14</v>
      </c>
      <c r="C29" s="4">
        <f t="shared" si="0"/>
        <v>53.970000000000006</v>
      </c>
      <c r="D29" s="4">
        <f t="shared" si="1"/>
        <v>1.4393331789408599</v>
      </c>
      <c r="E29" s="4">
        <f t="shared" si="2"/>
        <v>51.091333642118286</v>
      </c>
      <c r="F29" s="4">
        <f t="shared" si="3"/>
        <v>56.848666357881726</v>
      </c>
    </row>
    <row r="30" spans="1:6" x14ac:dyDescent="0.35">
      <c r="A30" s="1">
        <v>45644</v>
      </c>
      <c r="B30" s="2">
        <v>56.64</v>
      </c>
      <c r="C30" s="4">
        <f t="shared" si="0"/>
        <v>54.199500000000015</v>
      </c>
      <c r="D30" s="4">
        <f t="shared" si="1"/>
        <v>1.4802482055385173</v>
      </c>
      <c r="E30" s="4">
        <f t="shared" si="2"/>
        <v>51.239003588922984</v>
      </c>
      <c r="F30" s="4">
        <f t="shared" si="3"/>
        <v>57.159996411077046</v>
      </c>
    </row>
    <row r="31" spans="1:6" x14ac:dyDescent="0.35">
      <c r="A31" s="1">
        <v>45643</v>
      </c>
      <c r="B31" s="2">
        <v>60.97</v>
      </c>
      <c r="C31" s="4">
        <f t="shared" si="0"/>
        <v>54.592000000000006</v>
      </c>
      <c r="D31" s="4">
        <f t="shared" si="1"/>
        <v>2.066590428701343</v>
      </c>
      <c r="E31" s="4">
        <f t="shared" si="2"/>
        <v>50.458819142597321</v>
      </c>
      <c r="F31" s="4">
        <f t="shared" si="3"/>
        <v>58.725180857402691</v>
      </c>
    </row>
    <row r="32" spans="1:6" x14ac:dyDescent="0.35">
      <c r="A32" s="1">
        <v>45642</v>
      </c>
      <c r="B32" s="2">
        <v>61.61</v>
      </c>
      <c r="C32" s="4">
        <f t="shared" si="0"/>
        <v>55.036500000000004</v>
      </c>
      <c r="D32" s="4">
        <f t="shared" si="1"/>
        <v>2.5220255252475141</v>
      </c>
      <c r="E32" s="4">
        <f t="shared" si="2"/>
        <v>49.992448949504976</v>
      </c>
      <c r="F32" s="4">
        <f t="shared" si="3"/>
        <v>60.080551050495032</v>
      </c>
    </row>
    <row r="33" spans="1:6" x14ac:dyDescent="0.35">
      <c r="A33" s="1">
        <v>45639</v>
      </c>
      <c r="B33" s="2">
        <v>58.98</v>
      </c>
      <c r="C33" s="4">
        <f t="shared" si="0"/>
        <v>55.322000000000003</v>
      </c>
      <c r="D33" s="4">
        <f t="shared" si="1"/>
        <v>2.6269061650542445</v>
      </c>
      <c r="E33" s="4">
        <f t="shared" si="2"/>
        <v>50.068187669891515</v>
      </c>
      <c r="F33" s="4">
        <f t="shared" si="3"/>
        <v>60.575812330108491</v>
      </c>
    </row>
    <row r="34" spans="1:6" x14ac:dyDescent="0.35">
      <c r="A34" s="1">
        <v>45638</v>
      </c>
      <c r="B34" s="2">
        <v>58.58</v>
      </c>
      <c r="C34" s="4">
        <f t="shared" si="0"/>
        <v>55.580499999999986</v>
      </c>
      <c r="D34" s="4">
        <f t="shared" si="1"/>
        <v>2.6798796148334718</v>
      </c>
      <c r="E34" s="4">
        <f t="shared" si="2"/>
        <v>50.220740770333045</v>
      </c>
      <c r="F34" s="4">
        <f t="shared" si="3"/>
        <v>60.940259229666928</v>
      </c>
    </row>
    <row r="35" spans="1:6" x14ac:dyDescent="0.35">
      <c r="A35" s="1">
        <v>45637</v>
      </c>
      <c r="B35" s="2">
        <v>58.99</v>
      </c>
      <c r="C35" s="4">
        <f t="shared" si="0"/>
        <v>55.857499999999995</v>
      </c>
      <c r="D35" s="4">
        <f t="shared" si="1"/>
        <v>2.7311735115147848</v>
      </c>
      <c r="E35" s="4">
        <f t="shared" si="2"/>
        <v>50.395152976970422</v>
      </c>
      <c r="F35" s="4">
        <f t="shared" si="3"/>
        <v>61.319847023029567</v>
      </c>
    </row>
    <row r="36" spans="1:6" x14ac:dyDescent="0.35">
      <c r="A36" s="1">
        <v>45636</v>
      </c>
      <c r="B36" s="2">
        <v>58.76</v>
      </c>
      <c r="C36" s="4">
        <f t="shared" si="0"/>
        <v>56.166999999999994</v>
      </c>
      <c r="D36" s="4">
        <f t="shared" si="1"/>
        <v>2.6915350638622559</v>
      </c>
      <c r="E36" s="4">
        <f t="shared" si="2"/>
        <v>50.783929872275479</v>
      </c>
      <c r="F36" s="4">
        <f t="shared" si="3"/>
        <v>61.55007012772451</v>
      </c>
    </row>
    <row r="37" spans="1:6" x14ac:dyDescent="0.35">
      <c r="A37" s="1">
        <v>45635</v>
      </c>
      <c r="B37" s="2">
        <v>58.75</v>
      </c>
      <c r="C37" s="4">
        <f t="shared" si="0"/>
        <v>56.433500000000002</v>
      </c>
      <c r="D37" s="4">
        <f t="shared" si="1"/>
        <v>2.6701372155752594</v>
      </c>
      <c r="E37" s="4">
        <f t="shared" si="2"/>
        <v>51.093225568849483</v>
      </c>
      <c r="F37" s="4">
        <f t="shared" si="3"/>
        <v>61.773774431150521</v>
      </c>
    </row>
    <row r="38" spans="1:6" x14ac:dyDescent="0.35">
      <c r="A38" s="1">
        <v>45632</v>
      </c>
      <c r="B38" s="2">
        <v>57.3</v>
      </c>
      <c r="C38" s="4">
        <f t="shared" si="0"/>
        <v>56.599499999999999</v>
      </c>
      <c r="D38" s="4">
        <f t="shared" si="1"/>
        <v>2.6150783449067059</v>
      </c>
      <c r="E38" s="4">
        <f t="shared" si="2"/>
        <v>51.369343310186586</v>
      </c>
      <c r="F38" s="4">
        <f t="shared" si="3"/>
        <v>61.829656689813412</v>
      </c>
    </row>
    <row r="39" spans="1:6" x14ac:dyDescent="0.35">
      <c r="A39" s="1">
        <v>45631</v>
      </c>
      <c r="B39" s="2">
        <v>57.21</v>
      </c>
      <c r="C39" s="4">
        <f t="shared" si="0"/>
        <v>56.629500000000007</v>
      </c>
      <c r="D39" s="4">
        <f t="shared" si="1"/>
        <v>2.6184661063301924</v>
      </c>
      <c r="E39" s="4">
        <f t="shared" si="2"/>
        <v>51.392567787339622</v>
      </c>
      <c r="F39" s="4">
        <f t="shared" si="3"/>
        <v>61.866432212660392</v>
      </c>
    </row>
    <row r="40" spans="1:6" x14ac:dyDescent="0.35">
      <c r="A40" s="1">
        <v>45630</v>
      </c>
      <c r="B40" s="2">
        <v>59.06</v>
      </c>
      <c r="C40" s="4">
        <f t="shared" si="0"/>
        <v>56.887500000000003</v>
      </c>
      <c r="D40" s="4">
        <f t="shared" si="1"/>
        <v>2.5908799180973241</v>
      </c>
      <c r="E40" s="4">
        <f t="shared" si="2"/>
        <v>51.705740163805352</v>
      </c>
      <c r="F40" s="4">
        <f t="shared" si="3"/>
        <v>62.069259836194654</v>
      </c>
    </row>
    <row r="41" spans="1:6" x14ac:dyDescent="0.35">
      <c r="A41" s="1">
        <v>45629</v>
      </c>
      <c r="B41" s="2">
        <v>57.23</v>
      </c>
      <c r="C41" s="4">
        <f t="shared" si="0"/>
        <v>57.093499999999992</v>
      </c>
      <c r="D41" s="4">
        <f t="shared" si="1"/>
        <v>2.4418461765639532</v>
      </c>
      <c r="E41" s="4">
        <f t="shared" si="2"/>
        <v>52.209807646872086</v>
      </c>
      <c r="F41" s="4">
        <f t="shared" si="3"/>
        <v>61.977192353127897</v>
      </c>
    </row>
    <row r="42" spans="1:6" x14ac:dyDescent="0.35">
      <c r="A42" s="1">
        <v>45628</v>
      </c>
      <c r="B42" s="2">
        <v>55.46</v>
      </c>
      <c r="C42" s="4">
        <f t="shared" si="0"/>
        <v>57.222000000000001</v>
      </c>
      <c r="D42" s="4">
        <f t="shared" si="1"/>
        <v>2.2794837134754875</v>
      </c>
      <c r="E42" s="4">
        <f t="shared" si="2"/>
        <v>52.663032573049023</v>
      </c>
      <c r="F42" s="4">
        <f t="shared" si="3"/>
        <v>61.78096742695098</v>
      </c>
    </row>
    <row r="43" spans="1:6" x14ac:dyDescent="0.35">
      <c r="A43" s="1">
        <v>45625</v>
      </c>
      <c r="B43" s="2">
        <v>54.86</v>
      </c>
      <c r="C43" s="4">
        <f t="shared" si="0"/>
        <v>57.273499999999999</v>
      </c>
      <c r="D43" s="4">
        <f t="shared" si="1"/>
        <v>2.2129308055156169</v>
      </c>
      <c r="E43" s="4">
        <f t="shared" si="2"/>
        <v>52.847638388968761</v>
      </c>
      <c r="F43" s="4">
        <f t="shared" si="3"/>
        <v>61.699361611031236</v>
      </c>
    </row>
    <row r="44" spans="1:6" x14ac:dyDescent="0.35">
      <c r="A44" s="1">
        <v>45623</v>
      </c>
      <c r="B44" s="2">
        <v>54.31</v>
      </c>
      <c r="C44" s="4">
        <f t="shared" si="0"/>
        <v>57.353499999999997</v>
      </c>
      <c r="D44" s="4">
        <f t="shared" si="1"/>
        <v>2.0708700466229155</v>
      </c>
      <c r="E44" s="4">
        <f t="shared" si="2"/>
        <v>53.211759906754168</v>
      </c>
      <c r="F44" s="4">
        <f t="shared" si="3"/>
        <v>61.495240093245826</v>
      </c>
    </row>
    <row r="45" spans="1:6" x14ac:dyDescent="0.35">
      <c r="A45" s="1">
        <v>45622</v>
      </c>
      <c r="B45" s="2">
        <v>54.78</v>
      </c>
      <c r="C45" s="4">
        <f t="shared" si="0"/>
        <v>57.400500000000001</v>
      </c>
      <c r="D45" s="4">
        <f t="shared" si="1"/>
        <v>2.0000511868449764</v>
      </c>
      <c r="E45" s="4">
        <f t="shared" si="2"/>
        <v>53.400397626310045</v>
      </c>
      <c r="F45" s="4">
        <f t="shared" si="3"/>
        <v>61.400602373689956</v>
      </c>
    </row>
    <row r="46" spans="1:6" x14ac:dyDescent="0.35">
      <c r="A46" s="1">
        <v>45621</v>
      </c>
      <c r="B46" s="2">
        <v>55.68</v>
      </c>
      <c r="C46" s="4">
        <f t="shared" si="0"/>
        <v>57.428000000000011</v>
      </c>
      <c r="D46" s="4">
        <f t="shared" si="1"/>
        <v>1.9722312237666249</v>
      </c>
      <c r="E46" s="4">
        <f t="shared" si="2"/>
        <v>53.483537552466764</v>
      </c>
      <c r="F46" s="4">
        <f t="shared" si="3"/>
        <v>61.372462447533259</v>
      </c>
    </row>
    <row r="47" spans="1:6" x14ac:dyDescent="0.35">
      <c r="A47" s="1">
        <v>45618</v>
      </c>
      <c r="B47" s="2">
        <v>52.3</v>
      </c>
      <c r="C47" s="4">
        <f t="shared" si="0"/>
        <v>57.271000000000001</v>
      </c>
      <c r="D47" s="4">
        <f t="shared" si="1"/>
        <v>2.2320974441094634</v>
      </c>
      <c r="E47" s="4">
        <f t="shared" si="2"/>
        <v>52.806805111781074</v>
      </c>
      <c r="F47" s="4">
        <f t="shared" si="3"/>
        <v>61.735194888218928</v>
      </c>
    </row>
    <row r="48" spans="1:6" x14ac:dyDescent="0.35">
      <c r="A48" s="1">
        <v>45617</v>
      </c>
      <c r="B48" s="2">
        <v>51.99</v>
      </c>
      <c r="C48" s="4">
        <f t="shared" si="0"/>
        <v>57.030000000000008</v>
      </c>
      <c r="D48" s="4">
        <f t="shared" si="1"/>
        <v>2.5115732121520962</v>
      </c>
      <c r="E48" s="4">
        <f t="shared" si="2"/>
        <v>52.006853575695814</v>
      </c>
      <c r="F48" s="4">
        <f t="shared" si="3"/>
        <v>62.053146424304202</v>
      </c>
    </row>
    <row r="49" spans="1:6" x14ac:dyDescent="0.35">
      <c r="A49" s="1">
        <v>45616</v>
      </c>
      <c r="B49" s="2">
        <v>50.86</v>
      </c>
      <c r="C49" s="4">
        <f t="shared" si="0"/>
        <v>56.715999999999994</v>
      </c>
      <c r="D49" s="4">
        <f t="shared" si="1"/>
        <v>2.8482001334175937</v>
      </c>
      <c r="E49" s="4">
        <f t="shared" si="2"/>
        <v>51.01959973316481</v>
      </c>
      <c r="F49" s="4">
        <f t="shared" si="3"/>
        <v>62.412400266835178</v>
      </c>
    </row>
    <row r="50" spans="1:6" x14ac:dyDescent="0.35">
      <c r="A50" s="1">
        <v>45615</v>
      </c>
      <c r="B50" s="2">
        <v>50.41</v>
      </c>
      <c r="C50" s="4">
        <f t="shared" si="0"/>
        <v>56.404499999999999</v>
      </c>
      <c r="D50" s="4">
        <f t="shared" si="1"/>
        <v>3.1627843350440448</v>
      </c>
      <c r="E50" s="4">
        <f t="shared" si="2"/>
        <v>50.07893132991191</v>
      </c>
      <c r="F50" s="4">
        <f t="shared" si="3"/>
        <v>62.730068670088087</v>
      </c>
    </row>
    <row r="51" spans="1:6" x14ac:dyDescent="0.35">
      <c r="A51" s="1">
        <v>45614</v>
      </c>
      <c r="B51" s="2">
        <v>50.56</v>
      </c>
      <c r="C51" s="4">
        <f t="shared" si="0"/>
        <v>55.884</v>
      </c>
      <c r="D51" s="4">
        <f t="shared" si="1"/>
        <v>3.2245936178067462</v>
      </c>
      <c r="E51" s="4">
        <f t="shared" si="2"/>
        <v>49.434812764386507</v>
      </c>
      <c r="F51" s="4">
        <f t="shared" si="3"/>
        <v>62.333187235613494</v>
      </c>
    </row>
    <row r="52" spans="1:6" x14ac:dyDescent="0.35">
      <c r="A52" s="1">
        <v>45611</v>
      </c>
      <c r="B52" s="2">
        <v>49.63</v>
      </c>
      <c r="C52" s="4">
        <f t="shared" si="0"/>
        <v>55.285000000000004</v>
      </c>
      <c r="D52" s="4">
        <f t="shared" si="1"/>
        <v>3.2179923865665061</v>
      </c>
      <c r="E52" s="4">
        <f t="shared" si="2"/>
        <v>48.849015226866989</v>
      </c>
      <c r="F52" s="4">
        <f t="shared" si="3"/>
        <v>61.720984773133019</v>
      </c>
    </row>
    <row r="53" spans="1:6" x14ac:dyDescent="0.35">
      <c r="A53" s="1">
        <v>45610</v>
      </c>
      <c r="B53" s="2">
        <v>51.04</v>
      </c>
      <c r="C53" s="4">
        <f t="shared" si="0"/>
        <v>54.887999999999998</v>
      </c>
      <c r="D53" s="4">
        <f t="shared" si="1"/>
        <v>3.2274163041045694</v>
      </c>
      <c r="E53" s="4">
        <f t="shared" si="2"/>
        <v>48.43316739179086</v>
      </c>
      <c r="F53" s="4">
        <f t="shared" si="3"/>
        <v>61.342832608209136</v>
      </c>
    </row>
    <row r="54" spans="1:6" x14ac:dyDescent="0.35">
      <c r="A54" s="1">
        <v>45609</v>
      </c>
      <c r="B54" s="2">
        <v>53.43</v>
      </c>
      <c r="C54" s="4">
        <f t="shared" si="0"/>
        <v>54.630500000000005</v>
      </c>
      <c r="D54" s="4">
        <f t="shared" si="1"/>
        <v>3.1264444261812812</v>
      </c>
      <c r="E54" s="4">
        <f t="shared" si="2"/>
        <v>48.377611147637445</v>
      </c>
      <c r="F54" s="4">
        <f t="shared" si="3"/>
        <v>60.883388852362565</v>
      </c>
    </row>
    <row r="55" spans="1:6" x14ac:dyDescent="0.35">
      <c r="A55" s="1">
        <v>45608</v>
      </c>
      <c r="B55" s="2">
        <v>54</v>
      </c>
      <c r="C55" s="4">
        <f t="shared" si="0"/>
        <v>54.380999999999993</v>
      </c>
      <c r="D55" s="4">
        <f t="shared" si="1"/>
        <v>2.963447148170522</v>
      </c>
      <c r="E55" s="4">
        <f t="shared" si="2"/>
        <v>48.454105703658946</v>
      </c>
      <c r="F55" s="4">
        <f t="shared" si="3"/>
        <v>60.30789429634104</v>
      </c>
    </row>
    <row r="56" spans="1:6" x14ac:dyDescent="0.35">
      <c r="A56" s="1">
        <v>45607</v>
      </c>
      <c r="B56" s="2">
        <v>54</v>
      </c>
      <c r="C56" s="4">
        <f t="shared" si="0"/>
        <v>54.142999999999994</v>
      </c>
      <c r="D56" s="4">
        <f t="shared" si="1"/>
        <v>2.7881626566611923</v>
      </c>
      <c r="E56" s="4">
        <f t="shared" si="2"/>
        <v>48.566674686677608</v>
      </c>
      <c r="F56" s="4">
        <f t="shared" si="3"/>
        <v>59.719325313322379</v>
      </c>
    </row>
    <row r="57" spans="1:6" x14ac:dyDescent="0.35">
      <c r="A57" s="1">
        <v>45604</v>
      </c>
      <c r="B57" s="2">
        <v>53.31</v>
      </c>
      <c r="C57" s="4">
        <f t="shared" si="0"/>
        <v>53.870999999999995</v>
      </c>
      <c r="D57" s="4">
        <f t="shared" si="1"/>
        <v>2.5832806661297951</v>
      </c>
      <c r="E57" s="4">
        <f t="shared" si="2"/>
        <v>48.704438667740405</v>
      </c>
      <c r="F57" s="4">
        <f t="shared" si="3"/>
        <v>59.037561332259585</v>
      </c>
    </row>
    <row r="58" spans="1:6" x14ac:dyDescent="0.35">
      <c r="A58" s="1">
        <v>45603</v>
      </c>
      <c r="B58" s="2">
        <v>53.41</v>
      </c>
      <c r="C58" s="4">
        <f t="shared" si="0"/>
        <v>53.676499999999997</v>
      </c>
      <c r="D58" s="4">
        <f t="shared" si="1"/>
        <v>2.4613477507251997</v>
      </c>
      <c r="E58" s="4">
        <f t="shared" si="2"/>
        <v>48.753804498549599</v>
      </c>
      <c r="F58" s="4">
        <f t="shared" si="3"/>
        <v>58.599195501450396</v>
      </c>
    </row>
    <row r="59" spans="1:6" x14ac:dyDescent="0.35">
      <c r="A59" s="1">
        <v>45602</v>
      </c>
      <c r="B59" s="2">
        <v>53.08</v>
      </c>
      <c r="C59" s="4">
        <f t="shared" si="0"/>
        <v>53.469999999999992</v>
      </c>
      <c r="D59" s="4">
        <f t="shared" si="1"/>
        <v>2.3257471917644015</v>
      </c>
      <c r="E59" s="4">
        <f t="shared" si="2"/>
        <v>48.818505616471185</v>
      </c>
      <c r="F59" s="4">
        <f t="shared" si="3"/>
        <v>58.121494383528798</v>
      </c>
    </row>
    <row r="60" spans="1:6" x14ac:dyDescent="0.35">
      <c r="A60" s="1">
        <v>45601</v>
      </c>
      <c r="B60" s="2">
        <v>52.73</v>
      </c>
      <c r="C60" s="4">
        <f t="shared" si="0"/>
        <v>53.153499999999994</v>
      </c>
      <c r="D60" s="4">
        <f t="shared" si="1"/>
        <v>1.9426535331859871</v>
      </c>
      <c r="E60" s="4">
        <f t="shared" si="2"/>
        <v>49.268192933628022</v>
      </c>
      <c r="F60" s="4">
        <f t="shared" si="3"/>
        <v>57.038807066371966</v>
      </c>
    </row>
    <row r="61" spans="1:6" x14ac:dyDescent="0.35">
      <c r="A61" s="1">
        <v>45600</v>
      </c>
      <c r="B61" s="2">
        <v>52.27</v>
      </c>
      <c r="C61" s="4">
        <f t="shared" si="0"/>
        <v>52.905499999999996</v>
      </c>
      <c r="D61" s="4">
        <f t="shared" si="1"/>
        <v>1.7089572112841209</v>
      </c>
      <c r="E61" s="4">
        <f t="shared" si="2"/>
        <v>49.487585577431751</v>
      </c>
      <c r="F61" s="4">
        <f t="shared" si="3"/>
        <v>56.323414422568241</v>
      </c>
    </row>
    <row r="62" spans="1:6" x14ac:dyDescent="0.35">
      <c r="A62" s="1">
        <v>45597</v>
      </c>
      <c r="B62" s="2">
        <v>52.77</v>
      </c>
      <c r="C62" s="4">
        <f t="shared" si="0"/>
        <v>52.771000000000001</v>
      </c>
      <c r="D62" s="4">
        <f t="shared" si="1"/>
        <v>1.6053314299545747</v>
      </c>
      <c r="E62" s="4">
        <f t="shared" si="2"/>
        <v>49.560337140090851</v>
      </c>
      <c r="F62" s="4">
        <f t="shared" si="3"/>
        <v>55.98166285990915</v>
      </c>
    </row>
    <row r="63" spans="1:6" x14ac:dyDescent="0.35">
      <c r="A63" s="1">
        <v>45596</v>
      </c>
      <c r="B63" s="2">
        <v>51.44</v>
      </c>
      <c r="C63" s="4">
        <f t="shared" si="0"/>
        <v>52.6</v>
      </c>
      <c r="D63" s="4">
        <f t="shared" si="1"/>
        <v>1.5550659150016761</v>
      </c>
      <c r="E63" s="4">
        <f t="shared" si="2"/>
        <v>49.489868169996647</v>
      </c>
      <c r="F63" s="4">
        <f t="shared" si="3"/>
        <v>55.710131830003355</v>
      </c>
    </row>
    <row r="64" spans="1:6" x14ac:dyDescent="0.35">
      <c r="A64" s="1">
        <v>45595</v>
      </c>
      <c r="B64" s="2">
        <v>47.99</v>
      </c>
      <c r="C64" s="4">
        <f t="shared" si="0"/>
        <v>52.284000000000006</v>
      </c>
      <c r="D64" s="4">
        <f t="shared" si="1"/>
        <v>1.7985477474896236</v>
      </c>
      <c r="E64" s="4">
        <f t="shared" si="2"/>
        <v>48.686904505020756</v>
      </c>
      <c r="F64" s="4">
        <f t="shared" si="3"/>
        <v>55.881095494979256</v>
      </c>
    </row>
    <row r="65" spans="1:6" x14ac:dyDescent="0.35">
      <c r="A65" s="1">
        <v>45594</v>
      </c>
      <c r="B65" s="2">
        <v>47.48</v>
      </c>
      <c r="C65" s="4">
        <f t="shared" si="0"/>
        <v>51.919000000000004</v>
      </c>
      <c r="D65" s="4">
        <f t="shared" si="1"/>
        <v>1.9859428491273359</v>
      </c>
      <c r="E65" s="4">
        <f t="shared" si="2"/>
        <v>47.94711430174533</v>
      </c>
      <c r="F65" s="4">
        <f t="shared" si="3"/>
        <v>55.890885698254678</v>
      </c>
    </row>
    <row r="66" spans="1:6" x14ac:dyDescent="0.35">
      <c r="A66" s="1">
        <v>45593</v>
      </c>
      <c r="B66" s="2">
        <v>48.77</v>
      </c>
      <c r="C66" s="4">
        <f t="shared" si="0"/>
        <v>51.573500000000003</v>
      </c>
      <c r="D66" s="4">
        <f t="shared" si="1"/>
        <v>1.9008294899858849</v>
      </c>
      <c r="E66" s="4">
        <f t="shared" si="2"/>
        <v>47.771841020028234</v>
      </c>
      <c r="F66" s="4">
        <f t="shared" si="3"/>
        <v>55.375158979971772</v>
      </c>
    </row>
    <row r="67" spans="1:6" x14ac:dyDescent="0.35">
      <c r="A67" s="1">
        <v>45590</v>
      </c>
      <c r="B67" s="2">
        <v>48.64</v>
      </c>
      <c r="C67" s="4">
        <f t="shared" si="0"/>
        <v>51.39050000000001</v>
      </c>
      <c r="D67" s="4">
        <f t="shared" si="1"/>
        <v>1.9958819479117493</v>
      </c>
      <c r="E67" s="4">
        <f t="shared" si="2"/>
        <v>47.398736104176514</v>
      </c>
      <c r="F67" s="4">
        <f t="shared" si="3"/>
        <v>55.382263895823506</v>
      </c>
    </row>
    <row r="68" spans="1:6" x14ac:dyDescent="0.35">
      <c r="A68" s="1">
        <v>45589</v>
      </c>
      <c r="B68" s="2">
        <v>48.63</v>
      </c>
      <c r="C68" s="4">
        <f t="shared" si="0"/>
        <v>51.222500000000004</v>
      </c>
      <c r="D68" s="4">
        <f t="shared" si="1"/>
        <v>2.0780685142699218</v>
      </c>
      <c r="E68" s="4">
        <f t="shared" si="2"/>
        <v>47.066362971460158</v>
      </c>
      <c r="F68" s="4">
        <f t="shared" si="3"/>
        <v>55.378637028539849</v>
      </c>
    </row>
    <row r="69" spans="1:6" x14ac:dyDescent="0.35">
      <c r="A69" s="1">
        <v>45588</v>
      </c>
      <c r="B69" s="2">
        <v>49.64</v>
      </c>
      <c r="C69" s="4">
        <f t="shared" si="0"/>
        <v>51.161499999999997</v>
      </c>
      <c r="D69" s="4">
        <f t="shared" si="1"/>
        <v>2.1055385890550662</v>
      </c>
      <c r="E69" s="4">
        <f t="shared" si="2"/>
        <v>46.950422821889866</v>
      </c>
      <c r="F69" s="4">
        <f t="shared" si="3"/>
        <v>55.372577178110127</v>
      </c>
    </row>
    <row r="70" spans="1:6" x14ac:dyDescent="0.35">
      <c r="A70" s="1">
        <v>45587</v>
      </c>
      <c r="B70" s="2">
        <v>49.33</v>
      </c>
      <c r="C70" s="4">
        <f t="shared" si="0"/>
        <v>51.107499999999995</v>
      </c>
      <c r="D70" s="4">
        <f t="shared" si="1"/>
        <v>2.1377227954063636</v>
      </c>
      <c r="E70" s="4">
        <f t="shared" si="2"/>
        <v>46.832054409187265</v>
      </c>
      <c r="F70" s="4">
        <f t="shared" si="3"/>
        <v>55.382945590812724</v>
      </c>
    </row>
    <row r="71" spans="1:6" x14ac:dyDescent="0.35">
      <c r="A71" s="1">
        <v>45586</v>
      </c>
      <c r="B71" s="2">
        <v>51.77</v>
      </c>
      <c r="C71" s="4">
        <f t="shared" si="0"/>
        <v>51.168000000000006</v>
      </c>
      <c r="D71" s="4">
        <f t="shared" si="1"/>
        <v>2.1384938625116505</v>
      </c>
      <c r="E71" s="4">
        <f t="shared" si="2"/>
        <v>46.891012274976703</v>
      </c>
      <c r="F71" s="4">
        <f t="shared" si="3"/>
        <v>55.44498772502331</v>
      </c>
    </row>
    <row r="72" spans="1:6" x14ac:dyDescent="0.35">
      <c r="A72" s="1">
        <v>45583</v>
      </c>
      <c r="B72" s="2">
        <v>51.56</v>
      </c>
      <c r="C72" s="4">
        <f t="shared" si="0"/>
        <v>51.264499999999998</v>
      </c>
      <c r="D72" s="4">
        <f t="shared" si="1"/>
        <v>2.1102736196995875</v>
      </c>
      <c r="E72" s="4">
        <f t="shared" si="2"/>
        <v>47.043952760600824</v>
      </c>
      <c r="F72" s="4">
        <f t="shared" si="3"/>
        <v>55.485047239399172</v>
      </c>
    </row>
    <row r="73" spans="1:6" x14ac:dyDescent="0.35">
      <c r="A73" s="1">
        <v>45582</v>
      </c>
      <c r="B73" s="2">
        <v>50.75</v>
      </c>
      <c r="C73" s="4">
        <f t="shared" si="0"/>
        <v>51.25</v>
      </c>
      <c r="D73" s="4">
        <f t="shared" si="1"/>
        <v>2.1127612264522462</v>
      </c>
      <c r="E73" s="4">
        <f t="shared" si="2"/>
        <v>47.024477547095508</v>
      </c>
      <c r="F73" s="4">
        <f t="shared" si="3"/>
        <v>55.475522452904492</v>
      </c>
    </row>
    <row r="74" spans="1:6" x14ac:dyDescent="0.35">
      <c r="A74" s="1">
        <v>45581</v>
      </c>
      <c r="B74" s="2">
        <v>52.53</v>
      </c>
      <c r="C74" s="4">
        <f t="shared" si="0"/>
        <v>51.204999999999998</v>
      </c>
      <c r="D74" s="4">
        <f t="shared" si="1"/>
        <v>2.0750987928289102</v>
      </c>
      <c r="E74" s="4">
        <f t="shared" si="2"/>
        <v>47.054802414342177</v>
      </c>
      <c r="F74" s="4">
        <f t="shared" si="3"/>
        <v>55.35519758565782</v>
      </c>
    </row>
    <row r="75" spans="1:6" x14ac:dyDescent="0.35">
      <c r="A75" s="1">
        <v>45580</v>
      </c>
      <c r="B75" s="2">
        <v>51.31</v>
      </c>
      <c r="C75" s="4">
        <f t="shared" si="0"/>
        <v>51.070499999999996</v>
      </c>
      <c r="D75" s="4">
        <f t="shared" si="1"/>
        <v>1.9743086764738687</v>
      </c>
      <c r="E75" s="4">
        <f t="shared" si="2"/>
        <v>47.12188264705226</v>
      </c>
      <c r="F75" s="4">
        <f t="shared" si="3"/>
        <v>55.019117352947731</v>
      </c>
    </row>
    <row r="76" spans="1:6" x14ac:dyDescent="0.35">
      <c r="A76" s="1">
        <v>45579</v>
      </c>
      <c r="B76" s="2">
        <v>49.61</v>
      </c>
      <c r="C76" s="4">
        <f t="shared" si="0"/>
        <v>50.850999999999992</v>
      </c>
      <c r="D76" s="4">
        <f t="shared" si="1"/>
        <v>1.8781024998652229</v>
      </c>
      <c r="E76" s="4">
        <f t="shared" si="2"/>
        <v>47.094795000269549</v>
      </c>
      <c r="F76" s="4">
        <f t="shared" si="3"/>
        <v>54.607204999730435</v>
      </c>
    </row>
    <row r="77" spans="1:6" x14ac:dyDescent="0.35">
      <c r="A77" s="1">
        <v>45576</v>
      </c>
      <c r="B77" s="2">
        <v>49.69</v>
      </c>
      <c r="C77" s="4">
        <f t="shared" si="0"/>
        <v>50.669999999999995</v>
      </c>
      <c r="D77" s="4">
        <f t="shared" si="1"/>
        <v>1.8054279271131259</v>
      </c>
      <c r="E77" s="4">
        <f t="shared" si="2"/>
        <v>47.059144145773743</v>
      </c>
      <c r="F77" s="4">
        <f t="shared" si="3"/>
        <v>54.280855854226246</v>
      </c>
    </row>
    <row r="78" spans="1:6" x14ac:dyDescent="0.35">
      <c r="A78" s="1">
        <v>45575</v>
      </c>
      <c r="B78" s="2">
        <v>49.65</v>
      </c>
      <c r="C78" s="4">
        <f t="shared" si="0"/>
        <v>50.481999999999999</v>
      </c>
      <c r="D78" s="4">
        <f t="shared" si="1"/>
        <v>1.7031928839682255</v>
      </c>
      <c r="E78" s="4">
        <f t="shared" si="2"/>
        <v>47.07561423206355</v>
      </c>
      <c r="F78" s="4">
        <f t="shared" si="3"/>
        <v>53.888385767936448</v>
      </c>
    </row>
    <row r="79" spans="1:6" x14ac:dyDescent="0.35">
      <c r="A79" s="1">
        <v>45574</v>
      </c>
      <c r="B79" s="2">
        <v>50.76</v>
      </c>
      <c r="C79" s="4">
        <f t="shared" si="0"/>
        <v>50.365999999999993</v>
      </c>
      <c r="D79" s="4">
        <f t="shared" si="1"/>
        <v>1.5980594482058548</v>
      </c>
      <c r="E79" s="4">
        <f t="shared" si="2"/>
        <v>47.169881103588281</v>
      </c>
      <c r="F79" s="4">
        <f t="shared" si="3"/>
        <v>53.562118896411704</v>
      </c>
    </row>
    <row r="80" spans="1:6" x14ac:dyDescent="0.35">
      <c r="A80" s="1">
        <v>45573</v>
      </c>
      <c r="B80" s="2">
        <v>50.83</v>
      </c>
      <c r="C80" s="4">
        <f t="shared" si="0"/>
        <v>50.270999999999994</v>
      </c>
      <c r="D80" s="4">
        <f t="shared" si="1"/>
        <v>1.5086778980286024</v>
      </c>
      <c r="E80" s="4">
        <f t="shared" si="2"/>
        <v>47.253644203942791</v>
      </c>
      <c r="F80" s="4">
        <f t="shared" si="3"/>
        <v>53.288355796057196</v>
      </c>
    </row>
    <row r="81" spans="1:6" x14ac:dyDescent="0.35">
      <c r="A81" s="1">
        <v>45572</v>
      </c>
      <c r="B81" s="2">
        <v>51.19</v>
      </c>
      <c r="C81" s="4">
        <f t="shared" si="0"/>
        <v>50.216999999999999</v>
      </c>
      <c r="D81" s="4">
        <f t="shared" si="1"/>
        <v>1.4545174457530581</v>
      </c>
      <c r="E81" s="4">
        <f t="shared" si="2"/>
        <v>47.307965108493882</v>
      </c>
      <c r="F81" s="4">
        <f t="shared" si="3"/>
        <v>53.126034891506116</v>
      </c>
    </row>
    <row r="82" spans="1:6" x14ac:dyDescent="0.35">
      <c r="A82" s="1">
        <v>45569</v>
      </c>
      <c r="B82" s="2">
        <v>52.8</v>
      </c>
      <c r="C82" s="4">
        <f t="shared" si="0"/>
        <v>50.218499999999992</v>
      </c>
      <c r="D82" s="4">
        <f t="shared" si="1"/>
        <v>1.4571625681439939</v>
      </c>
      <c r="E82" s="4">
        <f t="shared" si="2"/>
        <v>47.304174863712007</v>
      </c>
      <c r="F82" s="4">
        <f t="shared" si="3"/>
        <v>53.132825136287977</v>
      </c>
    </row>
    <row r="83" spans="1:6" x14ac:dyDescent="0.35">
      <c r="A83" s="1">
        <v>45568</v>
      </c>
      <c r="B83" s="2">
        <v>51.1</v>
      </c>
      <c r="C83" s="4">
        <f t="shared" si="0"/>
        <v>50.201499999999996</v>
      </c>
      <c r="D83" s="4">
        <f t="shared" si="1"/>
        <v>1.4447431432611129</v>
      </c>
      <c r="E83" s="4">
        <f t="shared" si="2"/>
        <v>47.312013713477768</v>
      </c>
      <c r="F83" s="4">
        <f t="shared" si="3"/>
        <v>53.090986286522224</v>
      </c>
    </row>
    <row r="84" spans="1:6" x14ac:dyDescent="0.35">
      <c r="A84" s="1">
        <v>45567</v>
      </c>
      <c r="B84" s="2">
        <v>51.84</v>
      </c>
      <c r="C84" s="4">
        <f t="shared" si="0"/>
        <v>50.393999999999991</v>
      </c>
      <c r="D84" s="4">
        <f t="shared" si="1"/>
        <v>1.3928115450411809</v>
      </c>
      <c r="E84" s="4">
        <f t="shared" si="2"/>
        <v>47.608376909917631</v>
      </c>
      <c r="F84" s="4">
        <f t="shared" si="3"/>
        <v>53.179623090082352</v>
      </c>
    </row>
    <row r="85" spans="1:6" x14ac:dyDescent="0.35">
      <c r="A85" s="1">
        <v>45566</v>
      </c>
      <c r="B85" s="2">
        <v>52.3</v>
      </c>
      <c r="C85" s="4">
        <f t="shared" si="0"/>
        <v>50.635000000000005</v>
      </c>
      <c r="D85" s="4">
        <f t="shared" si="1"/>
        <v>1.280201156068842</v>
      </c>
      <c r="E85" s="4">
        <f t="shared" si="2"/>
        <v>48.074597687862322</v>
      </c>
      <c r="F85" s="4">
        <f t="shared" si="3"/>
        <v>53.195402312137688</v>
      </c>
    </row>
    <row r="86" spans="1:6" x14ac:dyDescent="0.35">
      <c r="A86" s="1">
        <v>45565</v>
      </c>
      <c r="B86" s="2">
        <v>55.53</v>
      </c>
      <c r="C86" s="4">
        <f t="shared" ref="C86:C149" si="4">AVERAGE(B67:B86)</f>
        <v>50.972999999999999</v>
      </c>
      <c r="D86" s="4">
        <f t="shared" ref="D86:D149" si="5">_xlfn.STDEV.P(B67:B86)</f>
        <v>1.5964996085185865</v>
      </c>
      <c r="E86" s="4">
        <f t="shared" ref="E86:E149" si="6">C86-2*D86</f>
        <v>47.780000782962823</v>
      </c>
      <c r="F86" s="4">
        <f t="shared" ref="F86:F149" si="7">C86+2*D86</f>
        <v>54.165999217037175</v>
      </c>
    </row>
    <row r="87" spans="1:6" x14ac:dyDescent="0.35">
      <c r="A87" s="1">
        <v>45562</v>
      </c>
      <c r="B87" s="2">
        <v>57.14</v>
      </c>
      <c r="C87" s="4">
        <f t="shared" si="4"/>
        <v>51.398000000000003</v>
      </c>
      <c r="D87" s="4">
        <f t="shared" si="5"/>
        <v>1.9994089126539376</v>
      </c>
      <c r="E87" s="4">
        <f t="shared" si="6"/>
        <v>47.399182174692129</v>
      </c>
      <c r="F87" s="4">
        <f t="shared" si="7"/>
        <v>55.396817825307878</v>
      </c>
    </row>
    <row r="88" spans="1:6" x14ac:dyDescent="0.35">
      <c r="A88" s="1">
        <v>45561</v>
      </c>
      <c r="B88" s="2">
        <v>55.75</v>
      </c>
      <c r="C88" s="4">
        <f t="shared" si="4"/>
        <v>51.753999999999998</v>
      </c>
      <c r="D88" s="4">
        <f t="shared" si="5"/>
        <v>2.1058974333998326</v>
      </c>
      <c r="E88" s="4">
        <f t="shared" si="6"/>
        <v>47.542205133200333</v>
      </c>
      <c r="F88" s="4">
        <f t="shared" si="7"/>
        <v>55.965794866799662</v>
      </c>
    </row>
    <row r="89" spans="1:6" x14ac:dyDescent="0.35">
      <c r="A89" s="1">
        <v>45560</v>
      </c>
      <c r="B89" s="2">
        <v>54.62</v>
      </c>
      <c r="C89" s="4">
        <f t="shared" si="4"/>
        <v>52.003</v>
      </c>
      <c r="D89" s="4">
        <f t="shared" si="5"/>
        <v>2.1354275918419714</v>
      </c>
      <c r="E89" s="4">
        <f t="shared" si="6"/>
        <v>47.732144816316058</v>
      </c>
      <c r="F89" s="4">
        <f t="shared" si="7"/>
        <v>56.273855183683942</v>
      </c>
    </row>
    <row r="90" spans="1:6" x14ac:dyDescent="0.35">
      <c r="A90" s="1">
        <v>45559</v>
      </c>
      <c r="B90" s="2">
        <v>55.02</v>
      </c>
      <c r="C90" s="4">
        <f t="shared" si="4"/>
        <v>52.287500000000001</v>
      </c>
      <c r="D90" s="4">
        <f t="shared" si="5"/>
        <v>2.1393874707495137</v>
      </c>
      <c r="E90" s="4">
        <f t="shared" si="6"/>
        <v>48.008725058500971</v>
      </c>
      <c r="F90" s="4">
        <f t="shared" si="7"/>
        <v>56.566274941499032</v>
      </c>
    </row>
    <row r="91" spans="1:6" x14ac:dyDescent="0.35">
      <c r="A91" s="1">
        <v>45558</v>
      </c>
      <c r="B91" s="2">
        <v>54.83</v>
      </c>
      <c r="C91" s="4">
        <f t="shared" si="4"/>
        <v>52.4405</v>
      </c>
      <c r="D91" s="4">
        <f t="shared" si="5"/>
        <v>2.2053105790341641</v>
      </c>
      <c r="E91" s="4">
        <f t="shared" si="6"/>
        <v>48.029878841931669</v>
      </c>
      <c r="F91" s="4">
        <f t="shared" si="7"/>
        <v>56.851121158068331</v>
      </c>
    </row>
    <row r="92" spans="1:6" x14ac:dyDescent="0.35">
      <c r="A92" s="1">
        <v>45555</v>
      </c>
      <c r="B92" s="2">
        <v>53.91</v>
      </c>
      <c r="C92" s="4">
        <f t="shared" si="4"/>
        <v>52.557999999999993</v>
      </c>
      <c r="D92" s="4">
        <f t="shared" si="5"/>
        <v>2.2178358821157174</v>
      </c>
      <c r="E92" s="4">
        <f t="shared" si="6"/>
        <v>48.122328235768556</v>
      </c>
      <c r="F92" s="4">
        <f t="shared" si="7"/>
        <v>56.993671764231429</v>
      </c>
    </row>
    <row r="93" spans="1:6" x14ac:dyDescent="0.35">
      <c r="A93" s="1">
        <v>45554</v>
      </c>
      <c r="B93" s="2">
        <v>54.07</v>
      </c>
      <c r="C93" s="4">
        <f t="shared" si="4"/>
        <v>52.724000000000004</v>
      </c>
      <c r="D93" s="4">
        <f t="shared" si="5"/>
        <v>2.2004781298617808</v>
      </c>
      <c r="E93" s="4">
        <f t="shared" si="6"/>
        <v>48.323043740276439</v>
      </c>
      <c r="F93" s="4">
        <f t="shared" si="7"/>
        <v>57.124956259723568</v>
      </c>
    </row>
    <row r="94" spans="1:6" x14ac:dyDescent="0.35">
      <c r="A94" s="1">
        <v>45553</v>
      </c>
      <c r="B94" s="2">
        <v>54</v>
      </c>
      <c r="C94" s="4">
        <f t="shared" si="4"/>
        <v>52.797499999999999</v>
      </c>
      <c r="D94" s="4">
        <f t="shared" si="5"/>
        <v>2.2172570329125136</v>
      </c>
      <c r="E94" s="4">
        <f t="shared" si="6"/>
        <v>48.362985934174972</v>
      </c>
      <c r="F94" s="4">
        <f t="shared" si="7"/>
        <v>57.232014065825027</v>
      </c>
    </row>
    <row r="95" spans="1:6" x14ac:dyDescent="0.35">
      <c r="A95" s="1">
        <v>45552</v>
      </c>
      <c r="B95" s="2">
        <v>54.09</v>
      </c>
      <c r="C95" s="4">
        <f t="shared" si="4"/>
        <v>52.936500000000002</v>
      </c>
      <c r="D95" s="4">
        <f t="shared" si="5"/>
        <v>2.2067629573653811</v>
      </c>
      <c r="E95" s="4">
        <f t="shared" si="6"/>
        <v>48.52297408526924</v>
      </c>
      <c r="F95" s="4">
        <f t="shared" si="7"/>
        <v>57.350025914730764</v>
      </c>
    </row>
    <row r="96" spans="1:6" x14ac:dyDescent="0.35">
      <c r="A96" s="1">
        <v>45551</v>
      </c>
      <c r="B96" s="2">
        <v>53.88</v>
      </c>
      <c r="C96" s="4">
        <f t="shared" si="4"/>
        <v>53.150000000000013</v>
      </c>
      <c r="D96" s="4">
        <f t="shared" si="5"/>
        <v>2.0773661208366723</v>
      </c>
      <c r="E96" s="4">
        <f t="shared" si="6"/>
        <v>48.995267758326669</v>
      </c>
      <c r="F96" s="4">
        <f t="shared" si="7"/>
        <v>57.304732241673356</v>
      </c>
    </row>
    <row r="97" spans="1:6" x14ac:dyDescent="0.35">
      <c r="A97" s="1">
        <v>45548</v>
      </c>
      <c r="B97" s="2">
        <v>55.65</v>
      </c>
      <c r="C97" s="4">
        <f t="shared" si="4"/>
        <v>53.448000000000015</v>
      </c>
      <c r="D97" s="4">
        <f t="shared" si="5"/>
        <v>1.9850858923482386</v>
      </c>
      <c r="E97" s="4">
        <f t="shared" si="6"/>
        <v>49.477828215303539</v>
      </c>
      <c r="F97" s="4">
        <f t="shared" si="7"/>
        <v>57.41817178469649</v>
      </c>
    </row>
    <row r="98" spans="1:6" x14ac:dyDescent="0.35">
      <c r="A98" s="1">
        <v>45547</v>
      </c>
      <c r="B98" s="2">
        <v>51.74</v>
      </c>
      <c r="C98" s="4">
        <f t="shared" si="4"/>
        <v>53.552499999999995</v>
      </c>
      <c r="D98" s="4">
        <f t="shared" si="5"/>
        <v>1.8314662841559493</v>
      </c>
      <c r="E98" s="4">
        <f t="shared" si="6"/>
        <v>49.889567431688093</v>
      </c>
      <c r="F98" s="4">
        <f t="shared" si="7"/>
        <v>57.215432568311897</v>
      </c>
    </row>
    <row r="99" spans="1:6" x14ac:dyDescent="0.35">
      <c r="A99" s="1">
        <v>45546</v>
      </c>
      <c r="B99" s="2">
        <v>51.92</v>
      </c>
      <c r="C99" s="4">
        <f t="shared" si="4"/>
        <v>53.610500000000002</v>
      </c>
      <c r="D99" s="4">
        <f t="shared" si="5"/>
        <v>1.7590493881639595</v>
      </c>
      <c r="E99" s="4">
        <f t="shared" si="6"/>
        <v>50.092401223672084</v>
      </c>
      <c r="F99" s="4">
        <f t="shared" si="7"/>
        <v>57.128598776327919</v>
      </c>
    </row>
    <row r="100" spans="1:6" x14ac:dyDescent="0.35">
      <c r="A100" s="1">
        <v>45545</v>
      </c>
      <c r="B100" s="2">
        <v>52.58</v>
      </c>
      <c r="C100" s="4">
        <f t="shared" si="4"/>
        <v>53.698</v>
      </c>
      <c r="D100" s="4">
        <f t="shared" si="5"/>
        <v>1.6592576653431499</v>
      </c>
      <c r="E100" s="4">
        <f t="shared" si="6"/>
        <v>50.379484669313698</v>
      </c>
      <c r="F100" s="4">
        <f t="shared" si="7"/>
        <v>57.016515330686303</v>
      </c>
    </row>
    <row r="101" spans="1:6" x14ac:dyDescent="0.35">
      <c r="A101" s="1">
        <v>45544</v>
      </c>
      <c r="B101" s="2">
        <v>52.35</v>
      </c>
      <c r="C101" s="4">
        <f t="shared" si="4"/>
        <v>53.756000000000007</v>
      </c>
      <c r="D101" s="4">
        <f t="shared" si="5"/>
        <v>1.5893784948840852</v>
      </c>
      <c r="E101" s="4">
        <f t="shared" si="6"/>
        <v>50.57724301023184</v>
      </c>
      <c r="F101" s="4">
        <f t="shared" si="7"/>
        <v>56.934756989768175</v>
      </c>
    </row>
    <row r="102" spans="1:6" x14ac:dyDescent="0.35">
      <c r="A102" s="1">
        <v>45541</v>
      </c>
      <c r="B102" s="2">
        <v>53.19</v>
      </c>
      <c r="C102" s="4">
        <f t="shared" si="4"/>
        <v>53.775500000000001</v>
      </c>
      <c r="D102" s="4">
        <f t="shared" si="5"/>
        <v>1.579893904665753</v>
      </c>
      <c r="E102" s="4">
        <f t="shared" si="6"/>
        <v>50.615712190668496</v>
      </c>
      <c r="F102" s="4">
        <f t="shared" si="7"/>
        <v>56.935287809331506</v>
      </c>
    </row>
    <row r="103" spans="1:6" x14ac:dyDescent="0.35">
      <c r="A103" s="1">
        <v>45540</v>
      </c>
      <c r="B103" s="2">
        <v>55.57</v>
      </c>
      <c r="C103" s="4">
        <f t="shared" si="4"/>
        <v>53.999000000000002</v>
      </c>
      <c r="D103" s="4">
        <f t="shared" si="5"/>
        <v>1.4997363101558885</v>
      </c>
      <c r="E103" s="4">
        <f t="shared" si="6"/>
        <v>50.999527379688224</v>
      </c>
      <c r="F103" s="4">
        <f t="shared" si="7"/>
        <v>56.99847262031178</v>
      </c>
    </row>
    <row r="104" spans="1:6" x14ac:dyDescent="0.35">
      <c r="A104" s="1">
        <v>45539</v>
      </c>
      <c r="B104" s="2">
        <v>55.57</v>
      </c>
      <c r="C104" s="4">
        <f t="shared" si="4"/>
        <v>54.18549999999999</v>
      </c>
      <c r="D104" s="4">
        <f t="shared" si="5"/>
        <v>1.4507807380855318</v>
      </c>
      <c r="E104" s="4">
        <f t="shared" si="6"/>
        <v>51.28393852382893</v>
      </c>
      <c r="F104" s="4">
        <f t="shared" si="7"/>
        <v>57.087061476171051</v>
      </c>
    </row>
    <row r="105" spans="1:6" x14ac:dyDescent="0.35">
      <c r="A105" s="1">
        <v>45538</v>
      </c>
      <c r="B105" s="2">
        <v>54.76</v>
      </c>
      <c r="C105" s="4">
        <f t="shared" si="4"/>
        <v>54.308500000000002</v>
      </c>
      <c r="D105" s="4">
        <f t="shared" si="5"/>
        <v>1.3886622159474202</v>
      </c>
      <c r="E105" s="4">
        <f t="shared" si="6"/>
        <v>51.531175568105162</v>
      </c>
      <c r="F105" s="4">
        <f t="shared" si="7"/>
        <v>57.085824431894842</v>
      </c>
    </row>
    <row r="106" spans="1:6" x14ac:dyDescent="0.35">
      <c r="A106" s="1">
        <v>45534</v>
      </c>
      <c r="B106" s="2">
        <v>55.09</v>
      </c>
      <c r="C106" s="4">
        <f t="shared" si="4"/>
        <v>54.286500000000004</v>
      </c>
      <c r="D106" s="4">
        <f t="shared" si="5"/>
        <v>1.3725278685695235</v>
      </c>
      <c r="E106" s="4">
        <f t="shared" si="6"/>
        <v>51.541444262860956</v>
      </c>
      <c r="F106" s="4">
        <f t="shared" si="7"/>
        <v>57.031555737139051</v>
      </c>
    </row>
    <row r="107" spans="1:6" x14ac:dyDescent="0.35">
      <c r="A107" s="1">
        <v>45533</v>
      </c>
      <c r="B107" s="2">
        <v>55.5</v>
      </c>
      <c r="C107" s="4">
        <f t="shared" si="4"/>
        <v>54.204499999999996</v>
      </c>
      <c r="D107" s="4">
        <f t="shared" si="5"/>
        <v>1.2424229352358236</v>
      </c>
      <c r="E107" s="4">
        <f t="shared" si="6"/>
        <v>51.719654129528351</v>
      </c>
      <c r="F107" s="4">
        <f t="shared" si="7"/>
        <v>56.689345870471641</v>
      </c>
    </row>
    <row r="108" spans="1:6" x14ac:dyDescent="0.35">
      <c r="A108" s="1">
        <v>45532</v>
      </c>
      <c r="B108" s="2">
        <v>55.23</v>
      </c>
      <c r="C108" s="4">
        <f t="shared" si="4"/>
        <v>54.178500000000007</v>
      </c>
      <c r="D108" s="4">
        <f t="shared" si="5"/>
        <v>1.2149455749127196</v>
      </c>
      <c r="E108" s="4">
        <f t="shared" si="6"/>
        <v>51.74860885017457</v>
      </c>
      <c r="F108" s="4">
        <f t="shared" si="7"/>
        <v>56.608391149825444</v>
      </c>
    </row>
    <row r="109" spans="1:6" x14ac:dyDescent="0.35">
      <c r="A109" s="1">
        <v>45531</v>
      </c>
      <c r="B109" s="2">
        <v>55.39</v>
      </c>
      <c r="C109" s="4">
        <f t="shared" si="4"/>
        <v>54.217000000000006</v>
      </c>
      <c r="D109" s="4">
        <f t="shared" si="5"/>
        <v>1.2402624722211018</v>
      </c>
      <c r="E109" s="4">
        <f t="shared" si="6"/>
        <v>51.736475055557804</v>
      </c>
      <c r="F109" s="4">
        <f t="shared" si="7"/>
        <v>56.697524944442208</v>
      </c>
    </row>
    <row r="110" spans="1:6" x14ac:dyDescent="0.35">
      <c r="A110" s="1">
        <v>45530</v>
      </c>
      <c r="B110" s="2">
        <v>55.16</v>
      </c>
      <c r="C110" s="4">
        <f t="shared" si="4"/>
        <v>54.224000000000011</v>
      </c>
      <c r="D110" s="4">
        <f t="shared" si="5"/>
        <v>1.2451602306530669</v>
      </c>
      <c r="E110" s="4">
        <f t="shared" si="6"/>
        <v>51.733679538693877</v>
      </c>
      <c r="F110" s="4">
        <f t="shared" si="7"/>
        <v>56.714320461306144</v>
      </c>
    </row>
    <row r="111" spans="1:6" x14ac:dyDescent="0.35">
      <c r="A111" s="1">
        <v>45527</v>
      </c>
      <c r="B111" s="2">
        <v>55.4</v>
      </c>
      <c r="C111" s="4">
        <f t="shared" si="4"/>
        <v>54.252500000000012</v>
      </c>
      <c r="D111" s="4">
        <f t="shared" si="5"/>
        <v>1.2650686740252479</v>
      </c>
      <c r="E111" s="4">
        <f t="shared" si="6"/>
        <v>51.722362651949517</v>
      </c>
      <c r="F111" s="4">
        <f t="shared" si="7"/>
        <v>56.782637348050507</v>
      </c>
    </row>
    <row r="112" spans="1:6" x14ac:dyDescent="0.35">
      <c r="A112" s="1">
        <v>45526</v>
      </c>
      <c r="B112" s="2">
        <v>53.79</v>
      </c>
      <c r="C112" s="4">
        <f t="shared" si="4"/>
        <v>54.246500000000005</v>
      </c>
      <c r="D112" s="4">
        <f t="shared" si="5"/>
        <v>1.2669620160052151</v>
      </c>
      <c r="E112" s="4">
        <f t="shared" si="6"/>
        <v>51.712575967989572</v>
      </c>
      <c r="F112" s="4">
        <f t="shared" si="7"/>
        <v>56.780424032010437</v>
      </c>
    </row>
    <row r="113" spans="1:6" x14ac:dyDescent="0.35">
      <c r="A113" s="1">
        <v>45525</v>
      </c>
      <c r="B113" s="2">
        <v>54.64</v>
      </c>
      <c r="C113" s="4">
        <f t="shared" si="4"/>
        <v>54.275000000000013</v>
      </c>
      <c r="D113" s="4">
        <f t="shared" si="5"/>
        <v>1.269080375705179</v>
      </c>
      <c r="E113" s="4">
        <f t="shared" si="6"/>
        <v>51.736839248589654</v>
      </c>
      <c r="F113" s="4">
        <f t="shared" si="7"/>
        <v>56.813160751410372</v>
      </c>
    </row>
    <row r="114" spans="1:6" x14ac:dyDescent="0.35">
      <c r="A114" s="1">
        <v>45524</v>
      </c>
      <c r="B114" s="2">
        <v>54.26</v>
      </c>
      <c r="C114" s="4">
        <f t="shared" si="4"/>
        <v>54.287999999999997</v>
      </c>
      <c r="D114" s="4">
        <f t="shared" si="5"/>
        <v>1.267527514494261</v>
      </c>
      <c r="E114" s="4">
        <f t="shared" si="6"/>
        <v>51.752944971011473</v>
      </c>
      <c r="F114" s="4">
        <f t="shared" si="7"/>
        <v>56.82305502898852</v>
      </c>
    </row>
    <row r="115" spans="1:6" x14ac:dyDescent="0.35">
      <c r="A115" s="1">
        <v>45523</v>
      </c>
      <c r="B115" s="2">
        <v>54.88</v>
      </c>
      <c r="C115" s="4">
        <f t="shared" si="4"/>
        <v>54.327500000000008</v>
      </c>
      <c r="D115" s="4">
        <f t="shared" si="5"/>
        <v>1.2730391785015882</v>
      </c>
      <c r="E115" s="4">
        <f t="shared" si="6"/>
        <v>51.781421642996833</v>
      </c>
      <c r="F115" s="4">
        <f t="shared" si="7"/>
        <v>56.873578357003183</v>
      </c>
    </row>
    <row r="116" spans="1:6" x14ac:dyDescent="0.35">
      <c r="A116" s="1">
        <v>45520</v>
      </c>
      <c r="B116" s="2">
        <v>53.91</v>
      </c>
      <c r="C116" s="4">
        <f t="shared" si="4"/>
        <v>54.328999999999994</v>
      </c>
      <c r="D116" s="4">
        <f t="shared" si="5"/>
        <v>1.2725285851406243</v>
      </c>
      <c r="E116" s="4">
        <f t="shared" si="6"/>
        <v>51.783942829718747</v>
      </c>
      <c r="F116" s="4">
        <f t="shared" si="7"/>
        <v>56.87405717028124</v>
      </c>
    </row>
    <row r="117" spans="1:6" x14ac:dyDescent="0.35">
      <c r="A117" s="1">
        <v>45519</v>
      </c>
      <c r="B117" s="2">
        <v>53.73</v>
      </c>
      <c r="C117" s="4">
        <f t="shared" si="4"/>
        <v>54.23299999999999</v>
      </c>
      <c r="D117" s="4">
        <f t="shared" si="5"/>
        <v>1.2412900547414367</v>
      </c>
      <c r="E117" s="4">
        <f t="shared" si="6"/>
        <v>51.750419890517115</v>
      </c>
      <c r="F117" s="4">
        <f t="shared" si="7"/>
        <v>56.715580109482865</v>
      </c>
    </row>
    <row r="118" spans="1:6" x14ac:dyDescent="0.35">
      <c r="A118" s="1">
        <v>45518</v>
      </c>
      <c r="B118" s="2">
        <v>51.5</v>
      </c>
      <c r="C118" s="4">
        <f t="shared" si="4"/>
        <v>54.220999999999989</v>
      </c>
      <c r="D118" s="4">
        <f t="shared" si="5"/>
        <v>1.2662420779613983</v>
      </c>
      <c r="E118" s="4">
        <f t="shared" si="6"/>
        <v>51.688515844077195</v>
      </c>
      <c r="F118" s="4">
        <f t="shared" si="7"/>
        <v>56.753484155922784</v>
      </c>
    </row>
    <row r="119" spans="1:6" x14ac:dyDescent="0.35">
      <c r="A119" s="1">
        <v>45517</v>
      </c>
      <c r="B119" s="2">
        <v>54.064999999999998</v>
      </c>
      <c r="C119" s="4">
        <f t="shared" si="4"/>
        <v>54.328250000000004</v>
      </c>
      <c r="D119" s="4">
        <f t="shared" si="5"/>
        <v>1.1525420545472518</v>
      </c>
      <c r="E119" s="4">
        <f t="shared" si="6"/>
        <v>52.023165890905503</v>
      </c>
      <c r="F119" s="4">
        <f t="shared" si="7"/>
        <v>56.633334109094505</v>
      </c>
    </row>
    <row r="120" spans="1:6" x14ac:dyDescent="0.35">
      <c r="A120" s="1">
        <v>45516</v>
      </c>
      <c r="B120" s="2">
        <v>53.19</v>
      </c>
      <c r="C120" s="4">
        <f t="shared" si="4"/>
        <v>54.358750000000001</v>
      </c>
      <c r="D120" s="4">
        <f t="shared" si="5"/>
        <v>1.1132765548146608</v>
      </c>
      <c r="E120" s="4">
        <f t="shared" si="6"/>
        <v>52.132196890370679</v>
      </c>
      <c r="F120" s="4">
        <f t="shared" si="7"/>
        <v>56.585303109629322</v>
      </c>
    </row>
    <row r="121" spans="1:6" x14ac:dyDescent="0.35">
      <c r="A121" s="1">
        <v>45513</v>
      </c>
      <c r="B121" s="2">
        <v>54.97</v>
      </c>
      <c r="C121" s="4">
        <f t="shared" si="4"/>
        <v>54.489749999999994</v>
      </c>
      <c r="D121" s="4">
        <f t="shared" si="5"/>
        <v>1.0193876532016664</v>
      </c>
      <c r="E121" s="4">
        <f t="shared" si="6"/>
        <v>52.450974693596663</v>
      </c>
      <c r="F121" s="4">
        <f t="shared" si="7"/>
        <v>56.528525306403324</v>
      </c>
    </row>
    <row r="122" spans="1:6" x14ac:dyDescent="0.35">
      <c r="A122" s="1">
        <v>45512</v>
      </c>
      <c r="B122" s="2">
        <v>54.23</v>
      </c>
      <c r="C122" s="4">
        <f t="shared" si="4"/>
        <v>54.54175</v>
      </c>
      <c r="D122" s="4">
        <f t="shared" si="5"/>
        <v>0.97742170402544315</v>
      </c>
      <c r="E122" s="4">
        <f t="shared" si="6"/>
        <v>52.586906591949116</v>
      </c>
      <c r="F122" s="4">
        <f t="shared" si="7"/>
        <v>56.496593408050884</v>
      </c>
    </row>
    <row r="123" spans="1:6" x14ac:dyDescent="0.35">
      <c r="A123" s="1">
        <v>45511</v>
      </c>
      <c r="B123" s="2">
        <v>53.36</v>
      </c>
      <c r="C123" s="4">
        <f t="shared" si="4"/>
        <v>54.431249999999999</v>
      </c>
      <c r="D123" s="4">
        <f t="shared" si="5"/>
        <v>0.97984931877304515</v>
      </c>
      <c r="E123" s="4">
        <f t="shared" si="6"/>
        <v>52.471551362453908</v>
      </c>
      <c r="F123" s="4">
        <f t="shared" si="7"/>
        <v>56.390948637546089</v>
      </c>
    </row>
    <row r="124" spans="1:6" x14ac:dyDescent="0.35">
      <c r="A124" s="1">
        <v>45510</v>
      </c>
      <c r="B124" s="2">
        <v>53.98</v>
      </c>
      <c r="C124" s="4">
        <f t="shared" si="4"/>
        <v>54.351750000000003</v>
      </c>
      <c r="D124" s="4">
        <f t="shared" si="5"/>
        <v>0.9482237011908109</v>
      </c>
      <c r="E124" s="4">
        <f t="shared" si="6"/>
        <v>52.455302597618378</v>
      </c>
      <c r="F124" s="4">
        <f t="shared" si="7"/>
        <v>56.248197402381628</v>
      </c>
    </row>
    <row r="125" spans="1:6" x14ac:dyDescent="0.35">
      <c r="A125" s="1">
        <v>45509</v>
      </c>
      <c r="B125" s="2">
        <v>55.45</v>
      </c>
      <c r="C125" s="4">
        <f t="shared" si="4"/>
        <v>54.386250000000004</v>
      </c>
      <c r="D125" s="4">
        <f t="shared" si="5"/>
        <v>0.97463438657785983</v>
      </c>
      <c r="E125" s="4">
        <f t="shared" si="6"/>
        <v>52.436981226844281</v>
      </c>
      <c r="F125" s="4">
        <f t="shared" si="7"/>
        <v>56.335518773155727</v>
      </c>
    </row>
    <row r="126" spans="1:6" x14ac:dyDescent="0.35">
      <c r="A126" s="1">
        <v>45506</v>
      </c>
      <c r="B126" s="2">
        <v>59.35</v>
      </c>
      <c r="C126" s="4">
        <f t="shared" si="4"/>
        <v>54.599249999999998</v>
      </c>
      <c r="D126" s="4">
        <f t="shared" si="5"/>
        <v>1.4531760689950828</v>
      </c>
      <c r="E126" s="4">
        <f t="shared" si="6"/>
        <v>51.692897862009829</v>
      </c>
      <c r="F126" s="4">
        <f t="shared" si="7"/>
        <v>57.505602137990167</v>
      </c>
    </row>
    <row r="127" spans="1:6" x14ac:dyDescent="0.35">
      <c r="A127" s="1">
        <v>45505</v>
      </c>
      <c r="B127" s="2">
        <v>60.16</v>
      </c>
      <c r="C127" s="4">
        <f t="shared" si="4"/>
        <v>54.832250000000009</v>
      </c>
      <c r="D127" s="4">
        <f t="shared" si="5"/>
        <v>1.8875807764172639</v>
      </c>
      <c r="E127" s="4">
        <f t="shared" si="6"/>
        <v>51.057088447165484</v>
      </c>
      <c r="F127" s="4">
        <f t="shared" si="7"/>
        <v>58.607411552834535</v>
      </c>
    </row>
    <row r="128" spans="1:6" x14ac:dyDescent="0.35">
      <c r="A128" s="1">
        <v>45504</v>
      </c>
      <c r="B128" s="2">
        <v>65.14</v>
      </c>
      <c r="C128" s="4">
        <f t="shared" si="4"/>
        <v>55.327750000000016</v>
      </c>
      <c r="D128" s="4">
        <f t="shared" si="5"/>
        <v>2.9363269891992623</v>
      </c>
      <c r="E128" s="4">
        <f t="shared" si="6"/>
        <v>49.455096021601491</v>
      </c>
      <c r="F128" s="4">
        <f t="shared" si="7"/>
        <v>61.200403978398541</v>
      </c>
    </row>
    <row r="129" spans="1:6" x14ac:dyDescent="0.35">
      <c r="A129" s="1">
        <v>45503</v>
      </c>
      <c r="B129" s="2">
        <v>64.52</v>
      </c>
      <c r="C129" s="4">
        <f t="shared" si="4"/>
        <v>55.784250000000007</v>
      </c>
      <c r="D129" s="4">
        <f t="shared" si="5"/>
        <v>3.5550391260153522</v>
      </c>
      <c r="E129" s="4">
        <f t="shared" si="6"/>
        <v>48.674171747969304</v>
      </c>
      <c r="F129" s="4">
        <f t="shared" si="7"/>
        <v>62.894328252030711</v>
      </c>
    </row>
    <row r="130" spans="1:6" x14ac:dyDescent="0.35">
      <c r="A130" s="1">
        <v>45502</v>
      </c>
      <c r="B130" s="2">
        <v>63.87</v>
      </c>
      <c r="C130" s="4">
        <f t="shared" si="4"/>
        <v>56.219749999999998</v>
      </c>
      <c r="D130" s="4">
        <f t="shared" si="5"/>
        <v>3.9620860903695667</v>
      </c>
      <c r="E130" s="4">
        <f t="shared" si="6"/>
        <v>48.295577819260863</v>
      </c>
      <c r="F130" s="4">
        <f t="shared" si="7"/>
        <v>64.143922180739125</v>
      </c>
    </row>
    <row r="131" spans="1:6" x14ac:dyDescent="0.35">
      <c r="A131" s="1">
        <v>45499</v>
      </c>
      <c r="B131" s="2">
        <v>62.27</v>
      </c>
      <c r="C131" s="4">
        <f t="shared" si="4"/>
        <v>56.563250000000004</v>
      </c>
      <c r="D131" s="4">
        <f t="shared" si="5"/>
        <v>4.1685501901140647</v>
      </c>
      <c r="E131" s="4">
        <f t="shared" si="6"/>
        <v>48.226149619771874</v>
      </c>
      <c r="F131" s="4">
        <f t="shared" si="7"/>
        <v>64.900350380228133</v>
      </c>
    </row>
    <row r="132" spans="1:6" x14ac:dyDescent="0.35">
      <c r="A132" s="1">
        <v>45498</v>
      </c>
      <c r="B132" s="2">
        <v>60.43</v>
      </c>
      <c r="C132" s="4">
        <f t="shared" si="4"/>
        <v>56.895250000000011</v>
      </c>
      <c r="D132" s="4">
        <f t="shared" si="5"/>
        <v>4.1987651384067668</v>
      </c>
      <c r="E132" s="4">
        <f t="shared" si="6"/>
        <v>48.497719723186478</v>
      </c>
      <c r="F132" s="4">
        <f t="shared" si="7"/>
        <v>65.292780276813545</v>
      </c>
    </row>
    <row r="133" spans="1:6" x14ac:dyDescent="0.35">
      <c r="A133" s="1">
        <v>45497</v>
      </c>
      <c r="B133" s="2">
        <v>60.26</v>
      </c>
      <c r="C133" s="4">
        <f t="shared" si="4"/>
        <v>57.176250000000003</v>
      </c>
      <c r="D133" s="4">
        <f t="shared" si="5"/>
        <v>4.2263976608336327</v>
      </c>
      <c r="E133" s="4">
        <f t="shared" si="6"/>
        <v>48.723454678332736</v>
      </c>
      <c r="F133" s="4">
        <f t="shared" si="7"/>
        <v>65.629045321667263</v>
      </c>
    </row>
    <row r="134" spans="1:6" x14ac:dyDescent="0.35">
      <c r="A134" s="1">
        <v>45496</v>
      </c>
      <c r="B134" s="2">
        <v>60.79</v>
      </c>
      <c r="C134" s="4">
        <f t="shared" si="4"/>
        <v>57.502750000000006</v>
      </c>
      <c r="D134" s="4">
        <f t="shared" si="5"/>
        <v>4.2407037962465619</v>
      </c>
      <c r="E134" s="4">
        <f t="shared" si="6"/>
        <v>49.021342407506879</v>
      </c>
      <c r="F134" s="4">
        <f t="shared" si="7"/>
        <v>65.984157592493133</v>
      </c>
    </row>
    <row r="135" spans="1:6" x14ac:dyDescent="0.35">
      <c r="A135" s="1">
        <v>45495</v>
      </c>
      <c r="B135" s="2">
        <v>62.39</v>
      </c>
      <c r="C135" s="4">
        <f t="shared" si="4"/>
        <v>57.878250000000001</v>
      </c>
      <c r="D135" s="4">
        <f t="shared" si="5"/>
        <v>4.3235272853886331</v>
      </c>
      <c r="E135" s="4">
        <f t="shared" si="6"/>
        <v>49.231195429222737</v>
      </c>
      <c r="F135" s="4">
        <f t="shared" si="7"/>
        <v>66.525304570777266</v>
      </c>
    </row>
    <row r="136" spans="1:6" x14ac:dyDescent="0.35">
      <c r="A136" s="1">
        <v>45492</v>
      </c>
      <c r="B136" s="2">
        <v>62.76</v>
      </c>
      <c r="C136" s="4">
        <f t="shared" si="4"/>
        <v>58.320749999999997</v>
      </c>
      <c r="D136" s="4">
        <f t="shared" si="5"/>
        <v>4.3475631895925337</v>
      </c>
      <c r="E136" s="4">
        <f t="shared" si="6"/>
        <v>49.625623620814928</v>
      </c>
      <c r="F136" s="4">
        <f t="shared" si="7"/>
        <v>67.015876379185059</v>
      </c>
    </row>
    <row r="137" spans="1:6" x14ac:dyDescent="0.35">
      <c r="A137" s="1">
        <v>45491</v>
      </c>
      <c r="B137" s="2">
        <v>63.66</v>
      </c>
      <c r="C137" s="4">
        <f t="shared" si="4"/>
        <v>58.817250000000001</v>
      </c>
      <c r="D137" s="4">
        <f t="shared" si="5"/>
        <v>4.3619288952824524</v>
      </c>
      <c r="E137" s="4">
        <f t="shared" si="6"/>
        <v>50.093392209435095</v>
      </c>
      <c r="F137" s="4">
        <f t="shared" si="7"/>
        <v>67.541107790564908</v>
      </c>
    </row>
    <row r="138" spans="1:6" x14ac:dyDescent="0.35">
      <c r="A138" s="1">
        <v>45490</v>
      </c>
      <c r="B138" s="2">
        <v>64.95</v>
      </c>
      <c r="C138" s="4">
        <f t="shared" si="4"/>
        <v>59.489750000000001</v>
      </c>
      <c r="D138" s="4">
        <f t="shared" si="5"/>
        <v>4.2163480866147669</v>
      </c>
      <c r="E138" s="4">
        <f t="shared" si="6"/>
        <v>51.057053826770471</v>
      </c>
      <c r="F138" s="4">
        <f t="shared" si="7"/>
        <v>67.922446173229531</v>
      </c>
    </row>
    <row r="139" spans="1:6" x14ac:dyDescent="0.35">
      <c r="A139" s="1">
        <v>45489</v>
      </c>
      <c r="B139" s="2">
        <v>65.47</v>
      </c>
      <c r="C139" s="4">
        <f t="shared" si="4"/>
        <v>60.06</v>
      </c>
      <c r="D139" s="4">
        <f t="shared" si="5"/>
        <v>4.2153505192332466</v>
      </c>
      <c r="E139" s="4">
        <f t="shared" si="6"/>
        <v>51.629298961533507</v>
      </c>
      <c r="F139" s="4">
        <f t="shared" si="7"/>
        <v>68.490701038466497</v>
      </c>
    </row>
    <row r="140" spans="1:6" x14ac:dyDescent="0.35">
      <c r="A140" s="1">
        <v>45488</v>
      </c>
      <c r="B140" s="2">
        <v>61.57</v>
      </c>
      <c r="C140" s="4">
        <f t="shared" si="4"/>
        <v>60.478999999999985</v>
      </c>
      <c r="D140" s="4">
        <f t="shared" si="5"/>
        <v>3.9176241524679218</v>
      </c>
      <c r="E140" s="4">
        <f t="shared" si="6"/>
        <v>52.64375169506414</v>
      </c>
      <c r="F140" s="4">
        <f t="shared" si="7"/>
        <v>68.31424830493583</v>
      </c>
    </row>
    <row r="141" spans="1:6" x14ac:dyDescent="0.35">
      <c r="A141" s="1">
        <v>45485</v>
      </c>
      <c r="B141" s="2">
        <v>60.5</v>
      </c>
      <c r="C141" s="4">
        <f t="shared" si="4"/>
        <v>60.755499999999984</v>
      </c>
      <c r="D141" s="4">
        <f t="shared" si="5"/>
        <v>3.7086243743469089</v>
      </c>
      <c r="E141" s="4">
        <f t="shared" si="6"/>
        <v>53.338251251306168</v>
      </c>
      <c r="F141" s="4">
        <f t="shared" si="7"/>
        <v>68.172748748693806</v>
      </c>
    </row>
    <row r="142" spans="1:6" x14ac:dyDescent="0.35">
      <c r="A142" s="1">
        <v>45484</v>
      </c>
      <c r="B142" s="2">
        <v>58.31</v>
      </c>
      <c r="C142" s="4">
        <f t="shared" si="4"/>
        <v>60.959499999999991</v>
      </c>
      <c r="D142" s="4">
        <f t="shared" si="5"/>
        <v>3.4470559539990062</v>
      </c>
      <c r="E142" s="4">
        <f t="shared" si="6"/>
        <v>54.065388092001982</v>
      </c>
      <c r="F142" s="4">
        <f t="shared" si="7"/>
        <v>67.853611907998001</v>
      </c>
    </row>
    <row r="143" spans="1:6" x14ac:dyDescent="0.35">
      <c r="A143" s="1">
        <v>45483</v>
      </c>
      <c r="B143" s="2">
        <v>57.32</v>
      </c>
      <c r="C143" s="4">
        <f t="shared" si="4"/>
        <v>61.157499999999992</v>
      </c>
      <c r="D143" s="4">
        <f t="shared" si="5"/>
        <v>3.1012366485000786</v>
      </c>
      <c r="E143" s="4">
        <f t="shared" si="6"/>
        <v>54.955026702999831</v>
      </c>
      <c r="F143" s="4">
        <f t="shared" si="7"/>
        <v>67.359973297000153</v>
      </c>
    </row>
    <row r="144" spans="1:6" x14ac:dyDescent="0.35">
      <c r="A144" s="1">
        <v>45482</v>
      </c>
      <c r="B144" s="2">
        <v>57.01</v>
      </c>
      <c r="C144" s="4">
        <f t="shared" si="4"/>
        <v>61.30899999999999</v>
      </c>
      <c r="D144" s="4">
        <f t="shared" si="5"/>
        <v>2.8069519055373924</v>
      </c>
      <c r="E144" s="4">
        <f t="shared" si="6"/>
        <v>55.695096188925206</v>
      </c>
      <c r="F144" s="4">
        <f t="shared" si="7"/>
        <v>66.922903811074775</v>
      </c>
    </row>
    <row r="145" spans="1:6" x14ac:dyDescent="0.35">
      <c r="A145" s="1">
        <v>45481</v>
      </c>
      <c r="B145" s="2">
        <v>55.37</v>
      </c>
      <c r="C145" s="4">
        <f t="shared" si="4"/>
        <v>61.304999999999993</v>
      </c>
      <c r="D145" s="4">
        <f t="shared" si="5"/>
        <v>2.8153427855236384</v>
      </c>
      <c r="E145" s="4">
        <f t="shared" si="6"/>
        <v>55.674314428952712</v>
      </c>
      <c r="F145" s="4">
        <f t="shared" si="7"/>
        <v>66.935685571047273</v>
      </c>
    </row>
    <row r="146" spans="1:6" x14ac:dyDescent="0.35">
      <c r="A146" s="1">
        <v>45478</v>
      </c>
      <c r="B146" s="2">
        <v>58.45</v>
      </c>
      <c r="C146" s="4">
        <f t="shared" si="4"/>
        <v>61.260000000000005</v>
      </c>
      <c r="D146" s="4">
        <f t="shared" si="5"/>
        <v>2.8531701666742557</v>
      </c>
      <c r="E146" s="4">
        <f t="shared" si="6"/>
        <v>55.553659666651491</v>
      </c>
      <c r="F146" s="4">
        <f t="shared" si="7"/>
        <v>66.966340333348512</v>
      </c>
    </row>
    <row r="147" spans="1:6" x14ac:dyDescent="0.35">
      <c r="A147" s="1">
        <v>45476</v>
      </c>
      <c r="B147" s="2">
        <v>58.23</v>
      </c>
      <c r="C147" s="4">
        <f t="shared" si="4"/>
        <v>61.163500000000013</v>
      </c>
      <c r="D147" s="4">
        <f t="shared" si="5"/>
        <v>2.9205843165366754</v>
      </c>
      <c r="E147" s="4">
        <f t="shared" si="6"/>
        <v>55.322331366926662</v>
      </c>
      <c r="F147" s="4">
        <f t="shared" si="7"/>
        <v>67.004668633073365</v>
      </c>
    </row>
    <row r="148" spans="1:6" x14ac:dyDescent="0.35">
      <c r="A148" s="1">
        <v>45475</v>
      </c>
      <c r="B148" s="2">
        <v>58.26</v>
      </c>
      <c r="C148" s="4">
        <f t="shared" si="4"/>
        <v>60.819500000000019</v>
      </c>
      <c r="D148" s="4">
        <f t="shared" si="5"/>
        <v>2.8359063366056363</v>
      </c>
      <c r="E148" s="4">
        <f t="shared" si="6"/>
        <v>55.147687326788748</v>
      </c>
      <c r="F148" s="4">
        <f t="shared" si="7"/>
        <v>66.491312673211297</v>
      </c>
    </row>
    <row r="149" spans="1:6" x14ac:dyDescent="0.35">
      <c r="A149" s="1">
        <v>45474</v>
      </c>
      <c r="B149" s="2">
        <v>57.01</v>
      </c>
      <c r="C149" s="4">
        <f t="shared" si="4"/>
        <v>60.444000000000003</v>
      </c>
      <c r="D149" s="4">
        <f t="shared" si="5"/>
        <v>2.8182075863924578</v>
      </c>
      <c r="E149" s="4">
        <f t="shared" si="6"/>
        <v>54.807584827215088</v>
      </c>
      <c r="F149" s="4">
        <f t="shared" si="7"/>
        <v>66.080415172784924</v>
      </c>
    </row>
    <row r="150" spans="1:6" x14ac:dyDescent="0.35">
      <c r="A150" s="1">
        <v>45471</v>
      </c>
      <c r="B150" s="2">
        <v>58.98</v>
      </c>
      <c r="C150" s="4">
        <f t="shared" ref="C150:C213" si="8">AVERAGE(B131:B150)</f>
        <v>60.1995</v>
      </c>
      <c r="D150" s="4">
        <f t="shared" ref="D150:D213" si="9">_xlfn.STDEV.P(B131:B150)</f>
        <v>2.7208095762107281</v>
      </c>
      <c r="E150" s="4">
        <f t="shared" ref="E150:E213" si="10">C150-2*D150</f>
        <v>54.757880847578548</v>
      </c>
      <c r="F150" s="4">
        <f t="shared" ref="F150:F213" si="11">C150+2*D150</f>
        <v>65.641119152421453</v>
      </c>
    </row>
    <row r="151" spans="1:6" x14ac:dyDescent="0.35">
      <c r="A151" s="1">
        <v>45470</v>
      </c>
      <c r="B151" s="2">
        <v>58.72</v>
      </c>
      <c r="C151" s="4">
        <f t="shared" si="8"/>
        <v>60.022000000000006</v>
      </c>
      <c r="D151" s="4">
        <f t="shared" si="9"/>
        <v>2.6956253448875276</v>
      </c>
      <c r="E151" s="4">
        <f t="shared" si="10"/>
        <v>54.63074931022495</v>
      </c>
      <c r="F151" s="4">
        <f t="shared" si="11"/>
        <v>65.413250689775055</v>
      </c>
    </row>
    <row r="152" spans="1:6" x14ac:dyDescent="0.35">
      <c r="A152" s="1">
        <v>45469</v>
      </c>
      <c r="B152" s="2">
        <v>59.49</v>
      </c>
      <c r="C152" s="4">
        <f t="shared" si="8"/>
        <v>59.975000000000001</v>
      </c>
      <c r="D152" s="4">
        <f t="shared" si="9"/>
        <v>2.696296534137149</v>
      </c>
      <c r="E152" s="4">
        <f t="shared" si="10"/>
        <v>54.5824069317257</v>
      </c>
      <c r="F152" s="4">
        <f t="shared" si="11"/>
        <v>65.367593068274303</v>
      </c>
    </row>
    <row r="153" spans="1:6" x14ac:dyDescent="0.35">
      <c r="A153" s="1">
        <v>45468</v>
      </c>
      <c r="B153" s="2">
        <v>59.49</v>
      </c>
      <c r="C153" s="4">
        <f t="shared" si="8"/>
        <v>59.936500000000002</v>
      </c>
      <c r="D153" s="4">
        <f t="shared" si="9"/>
        <v>2.6974493044355814</v>
      </c>
      <c r="E153" s="4">
        <f t="shared" si="10"/>
        <v>54.541601391128836</v>
      </c>
      <c r="F153" s="4">
        <f t="shared" si="11"/>
        <v>65.331398608871169</v>
      </c>
    </row>
    <row r="154" spans="1:6" x14ac:dyDescent="0.35">
      <c r="A154" s="1">
        <v>45467</v>
      </c>
      <c r="B154" s="2">
        <v>59.95</v>
      </c>
      <c r="C154" s="4">
        <f t="shared" si="8"/>
        <v>59.894500000000008</v>
      </c>
      <c r="D154" s="4">
        <f t="shared" si="9"/>
        <v>2.6903633118967414</v>
      </c>
      <c r="E154" s="4">
        <f t="shared" si="10"/>
        <v>54.513773376206522</v>
      </c>
      <c r="F154" s="4">
        <f t="shared" si="11"/>
        <v>65.275226623793486</v>
      </c>
    </row>
    <row r="155" spans="1:6" x14ac:dyDescent="0.35">
      <c r="A155" s="1">
        <v>45464</v>
      </c>
      <c r="B155" s="2">
        <v>60.17</v>
      </c>
      <c r="C155" s="4">
        <f t="shared" si="8"/>
        <v>59.783500000000018</v>
      </c>
      <c r="D155" s="4">
        <f t="shared" si="9"/>
        <v>2.6302381546164217</v>
      </c>
      <c r="E155" s="4">
        <f t="shared" si="10"/>
        <v>54.523023690767175</v>
      </c>
      <c r="F155" s="4">
        <f t="shared" si="11"/>
        <v>65.04397630923286</v>
      </c>
    </row>
    <row r="156" spans="1:6" x14ac:dyDescent="0.35">
      <c r="A156" s="1">
        <v>45463</v>
      </c>
      <c r="B156" s="2">
        <v>58.2</v>
      </c>
      <c r="C156" s="4">
        <f t="shared" si="8"/>
        <v>59.555500000000009</v>
      </c>
      <c r="D156" s="4">
        <f t="shared" si="9"/>
        <v>2.5590163637616703</v>
      </c>
      <c r="E156" s="4">
        <f t="shared" si="10"/>
        <v>54.437467272476667</v>
      </c>
      <c r="F156" s="4">
        <f t="shared" si="11"/>
        <v>64.673532727523352</v>
      </c>
    </row>
    <row r="157" spans="1:6" x14ac:dyDescent="0.35">
      <c r="A157" s="1">
        <v>45461</v>
      </c>
      <c r="B157" s="2">
        <v>57.67</v>
      </c>
      <c r="C157" s="4">
        <f t="shared" si="8"/>
        <v>59.256000000000014</v>
      </c>
      <c r="D157" s="4">
        <f t="shared" si="9"/>
        <v>2.4071298261622704</v>
      </c>
      <c r="E157" s="4">
        <f t="shared" si="10"/>
        <v>54.441740347675477</v>
      </c>
      <c r="F157" s="4">
        <f t="shared" si="11"/>
        <v>64.070259652324552</v>
      </c>
    </row>
    <row r="158" spans="1:6" x14ac:dyDescent="0.35">
      <c r="A158" s="1">
        <v>45460</v>
      </c>
      <c r="B158" s="2">
        <v>58.7</v>
      </c>
      <c r="C158" s="4">
        <f t="shared" si="8"/>
        <v>58.943500000000007</v>
      </c>
      <c r="D158" s="4">
        <f t="shared" si="9"/>
        <v>2.0226202683647769</v>
      </c>
      <c r="E158" s="4">
        <f t="shared" si="10"/>
        <v>54.898259463270456</v>
      </c>
      <c r="F158" s="4">
        <f t="shared" si="11"/>
        <v>62.988740536729559</v>
      </c>
    </row>
    <row r="159" spans="1:6" x14ac:dyDescent="0.35">
      <c r="A159" s="1">
        <v>45457</v>
      </c>
      <c r="B159" s="2">
        <v>58.87</v>
      </c>
      <c r="C159" s="4">
        <f t="shared" si="8"/>
        <v>58.613500000000002</v>
      </c>
      <c r="D159" s="4">
        <f t="shared" si="9"/>
        <v>1.3611035045138933</v>
      </c>
      <c r="E159" s="4">
        <f t="shared" si="10"/>
        <v>55.891292990972218</v>
      </c>
      <c r="F159" s="4">
        <f t="shared" si="11"/>
        <v>61.335707009027786</v>
      </c>
    </row>
    <row r="160" spans="1:6" x14ac:dyDescent="0.35">
      <c r="A160" s="1">
        <v>45456</v>
      </c>
      <c r="B160" s="2">
        <v>60.14</v>
      </c>
      <c r="C160" s="4">
        <f t="shared" si="8"/>
        <v>58.542000000000009</v>
      </c>
      <c r="D160" s="4">
        <f t="shared" si="9"/>
        <v>1.2357006109895721</v>
      </c>
      <c r="E160" s="4">
        <f t="shared" si="10"/>
        <v>56.070598778020866</v>
      </c>
      <c r="F160" s="4">
        <f t="shared" si="11"/>
        <v>61.013401221979152</v>
      </c>
    </row>
    <row r="161" spans="1:6" x14ac:dyDescent="0.35">
      <c r="A161" s="1">
        <v>45455</v>
      </c>
      <c r="B161" s="2">
        <v>63.27</v>
      </c>
      <c r="C161" s="4">
        <f t="shared" si="8"/>
        <v>58.680500000000009</v>
      </c>
      <c r="D161" s="4">
        <f t="shared" si="9"/>
        <v>1.5600592136197919</v>
      </c>
      <c r="E161" s="4">
        <f t="shared" si="10"/>
        <v>55.560381572760427</v>
      </c>
      <c r="F161" s="4">
        <f t="shared" si="11"/>
        <v>61.800618427239591</v>
      </c>
    </row>
    <row r="162" spans="1:6" x14ac:dyDescent="0.35">
      <c r="A162" s="1">
        <v>45454</v>
      </c>
      <c r="B162" s="2">
        <v>65.459999999999994</v>
      </c>
      <c r="C162" s="4">
        <f t="shared" si="8"/>
        <v>59.038000000000011</v>
      </c>
      <c r="D162" s="4">
        <f t="shared" si="9"/>
        <v>2.1441072734357296</v>
      </c>
      <c r="E162" s="4">
        <f t="shared" si="10"/>
        <v>54.749785453128553</v>
      </c>
      <c r="F162" s="4">
        <f t="shared" si="11"/>
        <v>63.326214546871469</v>
      </c>
    </row>
    <row r="163" spans="1:6" x14ac:dyDescent="0.35">
      <c r="A163" s="1">
        <v>45453</v>
      </c>
      <c r="B163" s="2">
        <v>66.069999999999993</v>
      </c>
      <c r="C163" s="4">
        <f t="shared" si="8"/>
        <v>59.475499999999997</v>
      </c>
      <c r="D163" s="4">
        <f t="shared" si="9"/>
        <v>2.5943524721980231</v>
      </c>
      <c r="E163" s="4">
        <f t="shared" si="10"/>
        <v>54.286795055603953</v>
      </c>
      <c r="F163" s="4">
        <f t="shared" si="11"/>
        <v>64.664204944396047</v>
      </c>
    </row>
    <row r="164" spans="1:6" x14ac:dyDescent="0.35">
      <c r="A164" s="1">
        <v>45450</v>
      </c>
      <c r="B164" s="2">
        <v>65.28</v>
      </c>
      <c r="C164" s="4">
        <f t="shared" si="8"/>
        <v>59.888999999999996</v>
      </c>
      <c r="D164" s="4">
        <f t="shared" si="9"/>
        <v>2.8178642621673591</v>
      </c>
      <c r="E164" s="4">
        <f t="shared" si="10"/>
        <v>54.253271475665279</v>
      </c>
      <c r="F164" s="4">
        <f t="shared" si="11"/>
        <v>65.524728524334719</v>
      </c>
    </row>
    <row r="165" spans="1:6" x14ac:dyDescent="0.35">
      <c r="A165" s="1">
        <v>45449</v>
      </c>
      <c r="B165" s="2">
        <v>66.22</v>
      </c>
      <c r="C165" s="4">
        <f t="shared" si="8"/>
        <v>60.431500000000007</v>
      </c>
      <c r="D165" s="4">
        <f t="shared" si="9"/>
        <v>2.9375266381770895</v>
      </c>
      <c r="E165" s="4">
        <f t="shared" si="10"/>
        <v>54.556446723645827</v>
      </c>
      <c r="F165" s="4">
        <f t="shared" si="11"/>
        <v>66.30655327635418</v>
      </c>
    </row>
    <row r="166" spans="1:6" x14ac:dyDescent="0.35">
      <c r="A166" s="1">
        <v>45448</v>
      </c>
      <c r="B166" s="2">
        <v>64.86</v>
      </c>
      <c r="C166" s="4">
        <f t="shared" si="8"/>
        <v>60.751999999999995</v>
      </c>
      <c r="D166" s="4">
        <f t="shared" si="9"/>
        <v>3.0513285631016527</v>
      </c>
      <c r="E166" s="4">
        <f t="shared" si="10"/>
        <v>54.649342873796691</v>
      </c>
      <c r="F166" s="4">
        <f t="shared" si="11"/>
        <v>66.854657126203307</v>
      </c>
    </row>
    <row r="167" spans="1:6" x14ac:dyDescent="0.35">
      <c r="A167" s="1">
        <v>45447</v>
      </c>
      <c r="B167" s="2">
        <v>64.91</v>
      </c>
      <c r="C167" s="4">
        <f t="shared" si="8"/>
        <v>61.085999999999999</v>
      </c>
      <c r="D167" s="4">
        <f t="shared" si="9"/>
        <v>3.1217741750485399</v>
      </c>
      <c r="E167" s="4">
        <f t="shared" si="10"/>
        <v>54.84245164990292</v>
      </c>
      <c r="F167" s="4">
        <f t="shared" si="11"/>
        <v>67.329548350097085</v>
      </c>
    </row>
    <row r="168" spans="1:6" x14ac:dyDescent="0.35">
      <c r="A168" s="1">
        <v>45446</v>
      </c>
      <c r="B168" s="2">
        <v>65.2</v>
      </c>
      <c r="C168" s="4">
        <f t="shared" si="8"/>
        <v>61.433000000000007</v>
      </c>
      <c r="D168" s="4">
        <f t="shared" si="9"/>
        <v>3.1736415991727851</v>
      </c>
      <c r="E168" s="4">
        <f t="shared" si="10"/>
        <v>55.085716801654435</v>
      </c>
      <c r="F168" s="4">
        <f t="shared" si="11"/>
        <v>67.780283198345572</v>
      </c>
    </row>
    <row r="169" spans="1:6" x14ac:dyDescent="0.35">
      <c r="A169" s="1">
        <v>45443</v>
      </c>
      <c r="B169" s="2">
        <v>63.47</v>
      </c>
      <c r="C169" s="4">
        <f t="shared" si="8"/>
        <v>61.756000000000007</v>
      </c>
      <c r="D169" s="4">
        <f t="shared" si="9"/>
        <v>3.0326546127114429</v>
      </c>
      <c r="E169" s="4">
        <f t="shared" si="10"/>
        <v>55.690690774577121</v>
      </c>
      <c r="F169" s="4">
        <f t="shared" si="11"/>
        <v>67.821309225422894</v>
      </c>
    </row>
    <row r="170" spans="1:6" x14ac:dyDescent="0.35">
      <c r="A170" s="1">
        <v>45442</v>
      </c>
      <c r="B170" s="2">
        <v>61.43</v>
      </c>
      <c r="C170" s="4">
        <f t="shared" si="8"/>
        <v>61.87850000000001</v>
      </c>
      <c r="D170" s="4">
        <f t="shared" si="9"/>
        <v>2.9668152537696026</v>
      </c>
      <c r="E170" s="4">
        <f t="shared" si="10"/>
        <v>55.944869492460803</v>
      </c>
      <c r="F170" s="4">
        <f t="shared" si="11"/>
        <v>67.812130507539209</v>
      </c>
    </row>
    <row r="171" spans="1:6" x14ac:dyDescent="0.35">
      <c r="A171" s="1">
        <v>45441</v>
      </c>
      <c r="B171" s="2">
        <v>60.8</v>
      </c>
      <c r="C171" s="4">
        <f t="shared" si="8"/>
        <v>61.982500000000002</v>
      </c>
      <c r="D171" s="4">
        <f t="shared" si="9"/>
        <v>2.8897281446530556</v>
      </c>
      <c r="E171" s="4">
        <f t="shared" si="10"/>
        <v>56.20304371069389</v>
      </c>
      <c r="F171" s="4">
        <f t="shared" si="11"/>
        <v>67.761956289306113</v>
      </c>
    </row>
    <row r="172" spans="1:6" x14ac:dyDescent="0.35">
      <c r="A172" s="1">
        <v>45440</v>
      </c>
      <c r="B172" s="2">
        <v>61.07</v>
      </c>
      <c r="C172" s="4">
        <f t="shared" si="8"/>
        <v>62.061500000000002</v>
      </c>
      <c r="D172" s="4">
        <f t="shared" si="9"/>
        <v>2.8417059576951291</v>
      </c>
      <c r="E172" s="4">
        <f t="shared" si="10"/>
        <v>56.378088084609743</v>
      </c>
      <c r="F172" s="4">
        <f t="shared" si="11"/>
        <v>67.744911915390261</v>
      </c>
    </row>
    <row r="173" spans="1:6" x14ac:dyDescent="0.35">
      <c r="A173" s="1">
        <v>45436</v>
      </c>
      <c r="B173" s="2">
        <v>60.62</v>
      </c>
      <c r="C173" s="4">
        <f t="shared" si="8"/>
        <v>62.117999999999995</v>
      </c>
      <c r="D173" s="4">
        <f t="shared" si="9"/>
        <v>2.8009580503820461</v>
      </c>
      <c r="E173" s="4">
        <f t="shared" si="10"/>
        <v>56.516083899235902</v>
      </c>
      <c r="F173" s="4">
        <f t="shared" si="11"/>
        <v>67.719916100764081</v>
      </c>
    </row>
    <row r="174" spans="1:6" x14ac:dyDescent="0.35">
      <c r="A174" s="1">
        <v>45435</v>
      </c>
      <c r="B174" s="2">
        <v>62.08</v>
      </c>
      <c r="C174" s="4">
        <f t="shared" si="8"/>
        <v>62.224499999999992</v>
      </c>
      <c r="D174" s="4">
        <f t="shared" si="9"/>
        <v>2.756643747385576</v>
      </c>
      <c r="E174" s="4">
        <f t="shared" si="10"/>
        <v>56.711212505228843</v>
      </c>
      <c r="F174" s="4">
        <f t="shared" si="11"/>
        <v>67.73778749477114</v>
      </c>
    </row>
    <row r="175" spans="1:6" x14ac:dyDescent="0.35">
      <c r="A175" s="1">
        <v>45434</v>
      </c>
      <c r="B175" s="2">
        <v>64.040000000000006</v>
      </c>
      <c r="C175" s="4">
        <f t="shared" si="8"/>
        <v>62.417999999999985</v>
      </c>
      <c r="D175" s="4">
        <f t="shared" si="9"/>
        <v>2.7414222586095698</v>
      </c>
      <c r="E175" s="4">
        <f t="shared" si="10"/>
        <v>56.935155482780843</v>
      </c>
      <c r="F175" s="4">
        <f t="shared" si="11"/>
        <v>67.900844517219127</v>
      </c>
    </row>
    <row r="176" spans="1:6" x14ac:dyDescent="0.35">
      <c r="A176" s="1">
        <v>45433</v>
      </c>
      <c r="B176" s="2">
        <v>64.180000000000007</v>
      </c>
      <c r="C176" s="4">
        <f t="shared" si="8"/>
        <v>62.716999999999999</v>
      </c>
      <c r="D176" s="4">
        <f t="shared" si="9"/>
        <v>2.5868225683258599</v>
      </c>
      <c r="E176" s="4">
        <f t="shared" si="10"/>
        <v>57.543354863348277</v>
      </c>
      <c r="F176" s="4">
        <f t="shared" si="11"/>
        <v>67.890645136651713</v>
      </c>
    </row>
    <row r="177" spans="1:6" x14ac:dyDescent="0.35">
      <c r="A177" s="1">
        <v>45432</v>
      </c>
      <c r="B177" s="2">
        <v>64.13</v>
      </c>
      <c r="C177" s="4">
        <f t="shared" si="8"/>
        <v>63.040000000000006</v>
      </c>
      <c r="D177" s="4">
        <f t="shared" si="9"/>
        <v>2.3267015279145706</v>
      </c>
      <c r="E177" s="4">
        <f t="shared" si="10"/>
        <v>58.386596944170861</v>
      </c>
      <c r="F177" s="4">
        <f t="shared" si="11"/>
        <v>67.693403055829151</v>
      </c>
    </row>
    <row r="178" spans="1:6" x14ac:dyDescent="0.35">
      <c r="A178" s="1">
        <v>45429</v>
      </c>
      <c r="B178" s="2">
        <v>63.97</v>
      </c>
      <c r="C178" s="4">
        <f t="shared" si="8"/>
        <v>63.303500000000021</v>
      </c>
      <c r="D178" s="4">
        <f t="shared" si="9"/>
        <v>2.1084526909560952</v>
      </c>
      <c r="E178" s="4">
        <f t="shared" si="10"/>
        <v>59.08659461808783</v>
      </c>
      <c r="F178" s="4">
        <f t="shared" si="11"/>
        <v>67.520405381912212</v>
      </c>
    </row>
    <row r="179" spans="1:6" x14ac:dyDescent="0.35">
      <c r="A179" s="1">
        <v>45428</v>
      </c>
      <c r="B179" s="2">
        <v>64.09</v>
      </c>
      <c r="C179" s="4">
        <f t="shared" si="8"/>
        <v>63.564499999999995</v>
      </c>
      <c r="D179" s="4">
        <f t="shared" si="9"/>
        <v>1.8508335284406321</v>
      </c>
      <c r="E179" s="4">
        <f t="shared" si="10"/>
        <v>59.862832943118732</v>
      </c>
      <c r="F179" s="4">
        <f t="shared" si="11"/>
        <v>67.266167056881258</v>
      </c>
    </row>
    <row r="180" spans="1:6" x14ac:dyDescent="0.35">
      <c r="A180" s="1">
        <v>45427</v>
      </c>
      <c r="B180" s="2">
        <v>64.569999999999993</v>
      </c>
      <c r="C180" s="4">
        <f t="shared" si="8"/>
        <v>63.786000000000001</v>
      </c>
      <c r="D180" s="4">
        <f t="shared" si="9"/>
        <v>1.6854417818483078</v>
      </c>
      <c r="E180" s="4">
        <f t="shared" si="10"/>
        <v>60.415116436303386</v>
      </c>
      <c r="F180" s="4">
        <f t="shared" si="11"/>
        <v>67.156883563696624</v>
      </c>
    </row>
    <row r="181" spans="1:6" x14ac:dyDescent="0.35">
      <c r="A181" s="1">
        <v>45426</v>
      </c>
      <c r="B181" s="2">
        <v>63.57</v>
      </c>
      <c r="C181" s="4">
        <f t="shared" si="8"/>
        <v>63.800999999999974</v>
      </c>
      <c r="D181" s="4">
        <f t="shared" si="9"/>
        <v>1.6821144431934467</v>
      </c>
      <c r="E181" s="4">
        <f t="shared" si="10"/>
        <v>60.436771113613077</v>
      </c>
      <c r="F181" s="4">
        <f t="shared" si="11"/>
        <v>67.16522888638687</v>
      </c>
    </row>
    <row r="182" spans="1:6" x14ac:dyDescent="0.35">
      <c r="A182" s="1">
        <v>45425</v>
      </c>
      <c r="B182" s="2">
        <v>62.51</v>
      </c>
      <c r="C182" s="4">
        <f t="shared" si="8"/>
        <v>63.653499999999994</v>
      </c>
      <c r="D182" s="4">
        <f t="shared" si="9"/>
        <v>1.6593591383422697</v>
      </c>
      <c r="E182" s="4">
        <f t="shared" si="10"/>
        <v>60.334781723315452</v>
      </c>
      <c r="F182" s="4">
        <f t="shared" si="11"/>
        <v>66.972218276684529</v>
      </c>
    </row>
    <row r="183" spans="1:6" x14ac:dyDescent="0.35">
      <c r="A183" s="1">
        <v>45422</v>
      </c>
      <c r="B183" s="2">
        <v>61.92</v>
      </c>
      <c r="C183" s="4">
        <f t="shared" si="8"/>
        <v>63.446000000000005</v>
      </c>
      <c r="D183" s="4">
        <f t="shared" si="9"/>
        <v>1.6027145722180232</v>
      </c>
      <c r="E183" s="4">
        <f t="shared" si="10"/>
        <v>60.240570855563959</v>
      </c>
      <c r="F183" s="4">
        <f t="shared" si="11"/>
        <v>66.651429144436051</v>
      </c>
    </row>
    <row r="184" spans="1:6" x14ac:dyDescent="0.35">
      <c r="A184" s="1">
        <v>45421</v>
      </c>
      <c r="B184" s="2">
        <v>63.45</v>
      </c>
      <c r="C184" s="4">
        <f t="shared" si="8"/>
        <v>63.354499999999994</v>
      </c>
      <c r="D184" s="4">
        <f t="shared" si="9"/>
        <v>1.54665598954648</v>
      </c>
      <c r="E184" s="4">
        <f t="shared" si="10"/>
        <v>60.261188020907035</v>
      </c>
      <c r="F184" s="4">
        <f t="shared" si="11"/>
        <v>66.447811979092961</v>
      </c>
    </row>
    <row r="185" spans="1:6" x14ac:dyDescent="0.35">
      <c r="A185" s="1">
        <v>45420</v>
      </c>
      <c r="B185" s="2">
        <v>62.57</v>
      </c>
      <c r="C185" s="4">
        <f t="shared" si="8"/>
        <v>63.172000000000004</v>
      </c>
      <c r="D185" s="4">
        <f t="shared" si="9"/>
        <v>1.4067892521625267</v>
      </c>
      <c r="E185" s="4">
        <f t="shared" si="10"/>
        <v>60.358421495674953</v>
      </c>
      <c r="F185" s="4">
        <f t="shared" si="11"/>
        <v>65.985578504325062</v>
      </c>
    </row>
    <row r="186" spans="1:6" x14ac:dyDescent="0.35">
      <c r="A186" s="1">
        <v>45419</v>
      </c>
      <c r="B186" s="2">
        <v>62.77</v>
      </c>
      <c r="C186" s="4">
        <f t="shared" si="8"/>
        <v>63.067499999999995</v>
      </c>
      <c r="D186" s="4">
        <f t="shared" si="9"/>
        <v>1.3541597948543596</v>
      </c>
      <c r="E186" s="4">
        <f t="shared" si="10"/>
        <v>60.359180410291273</v>
      </c>
      <c r="F186" s="4">
        <f t="shared" si="11"/>
        <v>65.775819589708718</v>
      </c>
    </row>
    <row r="187" spans="1:6" x14ac:dyDescent="0.35">
      <c r="A187" s="1">
        <v>45418</v>
      </c>
      <c r="B187" s="2">
        <v>62.46</v>
      </c>
      <c r="C187" s="4">
        <f t="shared" si="8"/>
        <v>62.945000000000007</v>
      </c>
      <c r="D187" s="4">
        <f t="shared" si="9"/>
        <v>1.2912997328273566</v>
      </c>
      <c r="E187" s="4">
        <f t="shared" si="10"/>
        <v>60.362400534345298</v>
      </c>
      <c r="F187" s="4">
        <f t="shared" si="11"/>
        <v>65.527599465654717</v>
      </c>
    </row>
    <row r="188" spans="1:6" x14ac:dyDescent="0.35">
      <c r="A188" s="1">
        <v>45415</v>
      </c>
      <c r="B188" s="2">
        <v>59.97</v>
      </c>
      <c r="C188" s="4">
        <f t="shared" si="8"/>
        <v>62.683500000000002</v>
      </c>
      <c r="D188" s="4">
        <f t="shared" si="9"/>
        <v>1.3369191262002356</v>
      </c>
      <c r="E188" s="4">
        <f t="shared" si="10"/>
        <v>60.00966174759953</v>
      </c>
      <c r="F188" s="4">
        <f t="shared" si="11"/>
        <v>65.357338252400467</v>
      </c>
    </row>
    <row r="189" spans="1:6" x14ac:dyDescent="0.35">
      <c r="A189" s="1">
        <v>45414</v>
      </c>
      <c r="B189" s="2">
        <v>59.24</v>
      </c>
      <c r="C189" s="4">
        <f t="shared" si="8"/>
        <v>62.472000000000016</v>
      </c>
      <c r="D189" s="4">
        <f t="shared" si="9"/>
        <v>1.5180830016833735</v>
      </c>
      <c r="E189" s="4">
        <f t="shared" si="10"/>
        <v>59.435833996633271</v>
      </c>
      <c r="F189" s="4">
        <f t="shared" si="11"/>
        <v>65.508166003366767</v>
      </c>
    </row>
    <row r="190" spans="1:6" x14ac:dyDescent="0.35">
      <c r="A190" s="1">
        <v>45413</v>
      </c>
      <c r="B190" s="2">
        <v>69.739999999999995</v>
      </c>
      <c r="C190" s="4">
        <f t="shared" si="8"/>
        <v>62.887500000000003</v>
      </c>
      <c r="D190" s="4">
        <f t="shared" si="9"/>
        <v>2.1722888274812808</v>
      </c>
      <c r="E190" s="4">
        <f t="shared" si="10"/>
        <v>58.542922345037439</v>
      </c>
      <c r="F190" s="4">
        <f t="shared" si="11"/>
        <v>67.232077654962566</v>
      </c>
    </row>
    <row r="191" spans="1:6" x14ac:dyDescent="0.35">
      <c r="A191" s="1">
        <v>45412</v>
      </c>
      <c r="B191" s="2">
        <v>68.67</v>
      </c>
      <c r="C191" s="4">
        <f t="shared" si="8"/>
        <v>63.281000000000006</v>
      </c>
      <c r="D191" s="4">
        <f t="shared" si="9"/>
        <v>2.4531569456518674</v>
      </c>
      <c r="E191" s="4">
        <f t="shared" si="10"/>
        <v>58.374686108696274</v>
      </c>
      <c r="F191" s="4">
        <f t="shared" si="11"/>
        <v>68.187313891303745</v>
      </c>
    </row>
    <row r="192" spans="1:6" x14ac:dyDescent="0.35">
      <c r="A192" s="1">
        <v>45411</v>
      </c>
      <c r="B192" s="2">
        <v>68.88</v>
      </c>
      <c r="C192" s="4">
        <f t="shared" si="8"/>
        <v>63.671500000000016</v>
      </c>
      <c r="D192" s="4">
        <f t="shared" si="9"/>
        <v>2.6811383310079311</v>
      </c>
      <c r="E192" s="4">
        <f t="shared" si="10"/>
        <v>58.30922333798415</v>
      </c>
      <c r="F192" s="4">
        <f t="shared" si="11"/>
        <v>69.033776662015882</v>
      </c>
    </row>
    <row r="193" spans="1:6" x14ac:dyDescent="0.35">
      <c r="A193" s="1">
        <v>45408</v>
      </c>
      <c r="B193" s="2">
        <v>67.430000000000007</v>
      </c>
      <c r="C193" s="4">
        <f t="shared" si="8"/>
        <v>64.012</v>
      </c>
      <c r="D193" s="4">
        <f t="shared" si="9"/>
        <v>2.7043106330449533</v>
      </c>
      <c r="E193" s="4">
        <f t="shared" si="10"/>
        <v>58.603378733910091</v>
      </c>
      <c r="F193" s="4">
        <f t="shared" si="11"/>
        <v>69.42062126608991</v>
      </c>
    </row>
    <row r="194" spans="1:6" x14ac:dyDescent="0.35">
      <c r="A194" s="1">
        <v>45407</v>
      </c>
      <c r="B194" s="2">
        <v>67.2</v>
      </c>
      <c r="C194" s="4">
        <f t="shared" si="8"/>
        <v>64.268000000000001</v>
      </c>
      <c r="D194" s="4">
        <f t="shared" si="9"/>
        <v>2.7512353588888021</v>
      </c>
      <c r="E194" s="4">
        <f t="shared" si="10"/>
        <v>58.765529282222396</v>
      </c>
      <c r="F194" s="4">
        <f t="shared" si="11"/>
        <v>69.770470717777599</v>
      </c>
    </row>
    <row r="195" spans="1:6" x14ac:dyDescent="0.35">
      <c r="A195" s="1">
        <v>45406</v>
      </c>
      <c r="B195" s="2">
        <v>66.87</v>
      </c>
      <c r="C195" s="4">
        <f t="shared" si="8"/>
        <v>64.409500000000008</v>
      </c>
      <c r="D195" s="4">
        <f t="shared" si="9"/>
        <v>2.8080588936131661</v>
      </c>
      <c r="E195" s="4">
        <f t="shared" si="10"/>
        <v>58.793382212773679</v>
      </c>
      <c r="F195" s="4">
        <f t="shared" si="11"/>
        <v>70.025617787226338</v>
      </c>
    </row>
    <row r="196" spans="1:6" x14ac:dyDescent="0.35">
      <c r="A196" s="1">
        <v>45405</v>
      </c>
      <c r="B196" s="2">
        <v>68.349999999999994</v>
      </c>
      <c r="C196" s="4">
        <f t="shared" si="8"/>
        <v>64.618000000000009</v>
      </c>
      <c r="D196" s="4">
        <f t="shared" si="9"/>
        <v>2.9352114063555961</v>
      </c>
      <c r="E196" s="4">
        <f t="shared" si="10"/>
        <v>58.747577187288819</v>
      </c>
      <c r="F196" s="4">
        <f t="shared" si="11"/>
        <v>70.488422812711207</v>
      </c>
    </row>
    <row r="197" spans="1:6" x14ac:dyDescent="0.35">
      <c r="A197" s="1">
        <v>45404</v>
      </c>
      <c r="B197" s="2">
        <v>66.45</v>
      </c>
      <c r="C197" s="4">
        <f t="shared" si="8"/>
        <v>64.734000000000009</v>
      </c>
      <c r="D197" s="4">
        <f t="shared" si="9"/>
        <v>2.9593772993655265</v>
      </c>
      <c r="E197" s="4">
        <f t="shared" si="10"/>
        <v>58.815245401268953</v>
      </c>
      <c r="F197" s="4">
        <f t="shared" si="11"/>
        <v>70.652754598731065</v>
      </c>
    </row>
    <row r="198" spans="1:6" x14ac:dyDescent="0.35">
      <c r="A198" s="1">
        <v>45401</v>
      </c>
      <c r="B198" s="2">
        <v>66.760000000000005</v>
      </c>
      <c r="C198" s="4">
        <f t="shared" si="8"/>
        <v>64.873499999999993</v>
      </c>
      <c r="D198" s="4">
        <f t="shared" si="9"/>
        <v>2.985716455057311</v>
      </c>
      <c r="E198" s="4">
        <f t="shared" si="10"/>
        <v>58.902067089885371</v>
      </c>
      <c r="F198" s="4">
        <f t="shared" si="11"/>
        <v>70.844932910114608</v>
      </c>
    </row>
    <row r="199" spans="1:6" x14ac:dyDescent="0.35">
      <c r="A199" s="1">
        <v>45400</v>
      </c>
      <c r="B199" s="2">
        <v>67.34</v>
      </c>
      <c r="C199" s="4">
        <f t="shared" si="8"/>
        <v>65.036000000000001</v>
      </c>
      <c r="D199" s="4">
        <f t="shared" si="9"/>
        <v>3.0268108629380857</v>
      </c>
      <c r="E199" s="4">
        <f t="shared" si="10"/>
        <v>58.982378274123832</v>
      </c>
      <c r="F199" s="4">
        <f t="shared" si="11"/>
        <v>71.089621725876171</v>
      </c>
    </row>
    <row r="200" spans="1:6" x14ac:dyDescent="0.35">
      <c r="A200" s="1">
        <v>45399</v>
      </c>
      <c r="B200" s="2">
        <v>67.489999999999995</v>
      </c>
      <c r="C200" s="4">
        <f t="shared" si="8"/>
        <v>65.181999999999988</v>
      </c>
      <c r="D200" s="4">
        <f t="shared" si="9"/>
        <v>3.0709145217670906</v>
      </c>
      <c r="E200" s="4">
        <f t="shared" si="10"/>
        <v>59.040170956465808</v>
      </c>
      <c r="F200" s="4">
        <f t="shared" si="11"/>
        <v>71.323829043534175</v>
      </c>
    </row>
    <row r="201" spans="1:6" x14ac:dyDescent="0.35">
      <c r="A201" s="1">
        <v>45398</v>
      </c>
      <c r="B201" s="2">
        <v>68.36</v>
      </c>
      <c r="C201" s="4">
        <f t="shared" si="8"/>
        <v>65.421499999999995</v>
      </c>
      <c r="D201" s="4">
        <f t="shared" si="9"/>
        <v>3.1222127970399445</v>
      </c>
      <c r="E201" s="4">
        <f t="shared" si="10"/>
        <v>59.177074405920109</v>
      </c>
      <c r="F201" s="4">
        <f t="shared" si="11"/>
        <v>71.66592559407988</v>
      </c>
    </row>
    <row r="202" spans="1:6" x14ac:dyDescent="0.35">
      <c r="A202" s="1">
        <v>45397</v>
      </c>
      <c r="B202" s="2">
        <v>66.73</v>
      </c>
      <c r="C202" s="4">
        <f t="shared" si="8"/>
        <v>65.632499999999993</v>
      </c>
      <c r="D202" s="4">
        <f t="shared" si="9"/>
        <v>3.0603037022491733</v>
      </c>
      <c r="E202" s="4">
        <f t="shared" si="10"/>
        <v>59.511892595501649</v>
      </c>
      <c r="F202" s="4">
        <f t="shared" si="11"/>
        <v>71.753107404498337</v>
      </c>
    </row>
    <row r="203" spans="1:6" x14ac:dyDescent="0.35">
      <c r="A203" s="1">
        <v>45394</v>
      </c>
      <c r="B203" s="2">
        <v>67.05</v>
      </c>
      <c r="C203" s="4">
        <f t="shared" si="8"/>
        <v>65.888999999999996</v>
      </c>
      <c r="D203" s="4">
        <f t="shared" si="9"/>
        <v>2.9514401569403366</v>
      </c>
      <c r="E203" s="4">
        <f t="shared" si="10"/>
        <v>59.986119686119324</v>
      </c>
      <c r="F203" s="4">
        <f t="shared" si="11"/>
        <v>71.791880313880668</v>
      </c>
    </row>
    <row r="204" spans="1:6" x14ac:dyDescent="0.35">
      <c r="A204" s="1">
        <v>45393</v>
      </c>
      <c r="B204" s="2">
        <v>68.41</v>
      </c>
      <c r="C204" s="4">
        <f t="shared" si="8"/>
        <v>66.137</v>
      </c>
      <c r="D204" s="4">
        <f t="shared" si="9"/>
        <v>2.9444576750226847</v>
      </c>
      <c r="E204" s="4">
        <f t="shared" si="10"/>
        <v>60.248084649954635</v>
      </c>
      <c r="F204" s="4">
        <f t="shared" si="11"/>
        <v>72.025915350045366</v>
      </c>
    </row>
    <row r="205" spans="1:6" x14ac:dyDescent="0.35">
      <c r="A205" s="1">
        <v>45392</v>
      </c>
      <c r="B205" s="2">
        <v>67.69</v>
      </c>
      <c r="C205" s="4">
        <f t="shared" si="8"/>
        <v>66.393000000000015</v>
      </c>
      <c r="D205" s="4">
        <f t="shared" si="9"/>
        <v>2.8440659275059001</v>
      </c>
      <c r="E205" s="4">
        <f t="shared" si="10"/>
        <v>60.704868144988211</v>
      </c>
      <c r="F205" s="4">
        <f t="shared" si="11"/>
        <v>72.081131855011819</v>
      </c>
    </row>
    <row r="206" spans="1:6" x14ac:dyDescent="0.35">
      <c r="A206" s="1">
        <v>45391</v>
      </c>
      <c r="B206" s="2">
        <v>68.67</v>
      </c>
      <c r="C206" s="4">
        <f t="shared" si="8"/>
        <v>66.688000000000017</v>
      </c>
      <c r="D206" s="4">
        <f t="shared" si="9"/>
        <v>2.7576468229271116</v>
      </c>
      <c r="E206" s="4">
        <f t="shared" si="10"/>
        <v>61.172706354145795</v>
      </c>
      <c r="F206" s="4">
        <f t="shared" si="11"/>
        <v>72.203293645854245</v>
      </c>
    </row>
    <row r="207" spans="1:6" x14ac:dyDescent="0.35">
      <c r="A207" s="1">
        <v>45390</v>
      </c>
      <c r="B207" s="2">
        <v>66.099999999999994</v>
      </c>
      <c r="C207" s="4">
        <f t="shared" si="8"/>
        <v>66.870000000000019</v>
      </c>
      <c r="D207" s="4">
        <f t="shared" si="9"/>
        <v>2.587465941804838</v>
      </c>
      <c r="E207" s="4">
        <f t="shared" si="10"/>
        <v>61.695068116390345</v>
      </c>
      <c r="F207" s="4">
        <f t="shared" si="11"/>
        <v>72.044931883609692</v>
      </c>
    </row>
    <row r="208" spans="1:6" x14ac:dyDescent="0.35">
      <c r="A208" s="1">
        <v>45387</v>
      </c>
      <c r="B208" s="2">
        <v>64.98</v>
      </c>
      <c r="C208" s="4">
        <f t="shared" si="8"/>
        <v>67.120500000000007</v>
      </c>
      <c r="D208" s="4">
        <f t="shared" si="9"/>
        <v>2.1048360387450598</v>
      </c>
      <c r="E208" s="4">
        <f t="shared" si="10"/>
        <v>62.910827922509888</v>
      </c>
      <c r="F208" s="4">
        <f t="shared" si="11"/>
        <v>71.330172077490133</v>
      </c>
    </row>
    <row r="209" spans="1:6" x14ac:dyDescent="0.35">
      <c r="A209" s="1">
        <v>45386</v>
      </c>
      <c r="B209" s="2">
        <v>65.56</v>
      </c>
      <c r="C209" s="4">
        <f t="shared" si="8"/>
        <v>67.436499999999995</v>
      </c>
      <c r="D209" s="4">
        <f t="shared" si="9"/>
        <v>1.1606561721715849</v>
      </c>
      <c r="E209" s="4">
        <f t="shared" si="10"/>
        <v>65.115187655656825</v>
      </c>
      <c r="F209" s="4">
        <f t="shared" si="11"/>
        <v>69.757812344343165</v>
      </c>
    </row>
    <row r="210" spans="1:6" x14ac:dyDescent="0.35">
      <c r="A210" s="1">
        <v>45385</v>
      </c>
      <c r="B210" s="2">
        <v>65.150000000000006</v>
      </c>
      <c r="C210" s="4">
        <f t="shared" si="8"/>
        <v>67.207000000000008</v>
      </c>
      <c r="D210" s="4">
        <f t="shared" si="9"/>
        <v>1.1360242074885534</v>
      </c>
      <c r="E210" s="4">
        <f t="shared" si="10"/>
        <v>64.934951585022901</v>
      </c>
      <c r="F210" s="4">
        <f t="shared" si="11"/>
        <v>69.479048414977115</v>
      </c>
    </row>
    <row r="211" spans="1:6" x14ac:dyDescent="0.35">
      <c r="A211" s="1">
        <v>45384</v>
      </c>
      <c r="B211" s="2">
        <v>65.180000000000007</v>
      </c>
      <c r="C211" s="4">
        <f t="shared" si="8"/>
        <v>67.032499999999999</v>
      </c>
      <c r="D211" s="4">
        <f t="shared" si="9"/>
        <v>1.1655551252514806</v>
      </c>
      <c r="E211" s="4">
        <f t="shared" si="10"/>
        <v>64.701389749497039</v>
      </c>
      <c r="F211" s="4">
        <f t="shared" si="11"/>
        <v>69.363610250502958</v>
      </c>
    </row>
    <row r="212" spans="1:6" x14ac:dyDescent="0.35">
      <c r="A212" s="1">
        <v>45383</v>
      </c>
      <c r="B212" s="2">
        <v>65.900000000000006</v>
      </c>
      <c r="C212" s="4">
        <f t="shared" si="8"/>
        <v>66.883499999999998</v>
      </c>
      <c r="D212" s="4">
        <f t="shared" si="9"/>
        <v>1.1089557024516334</v>
      </c>
      <c r="E212" s="4">
        <f t="shared" si="10"/>
        <v>64.665588595096736</v>
      </c>
      <c r="F212" s="4">
        <f t="shared" si="11"/>
        <v>69.10141140490326</v>
      </c>
    </row>
    <row r="213" spans="1:6" x14ac:dyDescent="0.35">
      <c r="A213" s="1">
        <v>45379</v>
      </c>
      <c r="B213" s="2">
        <v>68.72</v>
      </c>
      <c r="C213" s="4">
        <f t="shared" si="8"/>
        <v>66.948000000000008</v>
      </c>
      <c r="D213" s="4">
        <f t="shared" si="9"/>
        <v>1.1744471039599844</v>
      </c>
      <c r="E213" s="4">
        <f t="shared" si="10"/>
        <v>64.599105792080039</v>
      </c>
      <c r="F213" s="4">
        <f t="shared" si="11"/>
        <v>69.296894207919976</v>
      </c>
    </row>
    <row r="214" spans="1:6" x14ac:dyDescent="0.35">
      <c r="A214" s="1">
        <v>45378</v>
      </c>
      <c r="B214" s="2">
        <v>67.989999999999995</v>
      </c>
      <c r="C214" s="4">
        <f t="shared" ref="C214:C277" si="12">AVERAGE(B195:B214)</f>
        <v>66.987500000000011</v>
      </c>
      <c r="D214" s="4">
        <f t="shared" ref="D214:D277" si="13">_xlfn.STDEV.P(B195:B214)</f>
        <v>1.195357164198213</v>
      </c>
      <c r="E214" s="4">
        <f t="shared" ref="E214:E277" si="14">C214-2*D214</f>
        <v>64.596785671603584</v>
      </c>
      <c r="F214" s="4">
        <f t="shared" ref="F214:F277" si="15">C214+2*D214</f>
        <v>69.378214328396439</v>
      </c>
    </row>
    <row r="215" spans="1:6" x14ac:dyDescent="0.35">
      <c r="A215" s="1">
        <v>45377</v>
      </c>
      <c r="B215" s="2">
        <v>65.8</v>
      </c>
      <c r="C215" s="4">
        <f t="shared" si="12"/>
        <v>66.933999999999997</v>
      </c>
      <c r="D215" s="4">
        <f t="shared" si="13"/>
        <v>1.2230429264747802</v>
      </c>
      <c r="E215" s="4">
        <f t="shared" si="14"/>
        <v>64.487914147050432</v>
      </c>
      <c r="F215" s="4">
        <f t="shared" si="15"/>
        <v>69.380085852949563</v>
      </c>
    </row>
    <row r="216" spans="1:6" x14ac:dyDescent="0.35">
      <c r="A216" s="1">
        <v>45376</v>
      </c>
      <c r="B216" s="2">
        <v>65.75</v>
      </c>
      <c r="C216" s="4">
        <f t="shared" si="12"/>
        <v>66.804000000000002</v>
      </c>
      <c r="D216" s="4">
        <f t="shared" si="13"/>
        <v>1.2036502814355985</v>
      </c>
      <c r="E216" s="4">
        <f t="shared" si="14"/>
        <v>64.396699437128802</v>
      </c>
      <c r="F216" s="4">
        <f t="shared" si="15"/>
        <v>69.211300562871202</v>
      </c>
    </row>
    <row r="217" spans="1:6" x14ac:dyDescent="0.35">
      <c r="A217" s="1">
        <v>45373</v>
      </c>
      <c r="B217" s="2">
        <v>67.819999999999993</v>
      </c>
      <c r="C217" s="4">
        <f t="shared" si="12"/>
        <v>66.872499999999988</v>
      </c>
      <c r="D217" s="4">
        <f t="shared" si="13"/>
        <v>1.2204215460241574</v>
      </c>
      <c r="E217" s="4">
        <f t="shared" si="14"/>
        <v>64.431656907951677</v>
      </c>
      <c r="F217" s="4">
        <f t="shared" si="15"/>
        <v>69.313343092048299</v>
      </c>
    </row>
    <row r="218" spans="1:6" x14ac:dyDescent="0.35">
      <c r="A218" s="1">
        <v>45372</v>
      </c>
      <c r="B218" s="2">
        <v>68.11</v>
      </c>
      <c r="C218" s="4">
        <f t="shared" si="12"/>
        <v>66.939999999999984</v>
      </c>
      <c r="D218" s="4">
        <f t="shared" si="13"/>
        <v>1.2493238171106782</v>
      </c>
      <c r="E218" s="4">
        <f t="shared" si="14"/>
        <v>64.441352365778627</v>
      </c>
      <c r="F218" s="4">
        <f t="shared" si="15"/>
        <v>69.43864763422134</v>
      </c>
    </row>
    <row r="219" spans="1:6" x14ac:dyDescent="0.35">
      <c r="A219" s="1">
        <v>45371</v>
      </c>
      <c r="B219" s="2">
        <v>68.510000000000005</v>
      </c>
      <c r="C219" s="4">
        <f t="shared" si="12"/>
        <v>66.998499999999993</v>
      </c>
      <c r="D219" s="4">
        <f t="shared" si="13"/>
        <v>1.2933030387345401</v>
      </c>
      <c r="E219" s="4">
        <f t="shared" si="14"/>
        <v>64.411893922530908</v>
      </c>
      <c r="F219" s="4">
        <f t="shared" si="15"/>
        <v>69.585106077469078</v>
      </c>
    </row>
    <row r="220" spans="1:6" x14ac:dyDescent="0.35">
      <c r="A220" s="1">
        <v>45370</v>
      </c>
      <c r="B220" s="2">
        <v>66.84</v>
      </c>
      <c r="C220" s="4">
        <f t="shared" si="12"/>
        <v>66.96599999999998</v>
      </c>
      <c r="D220" s="4">
        <f t="shared" si="13"/>
        <v>1.2887024482012888</v>
      </c>
      <c r="E220" s="4">
        <f t="shared" si="14"/>
        <v>64.388595103597396</v>
      </c>
      <c r="F220" s="4">
        <f t="shared" si="15"/>
        <v>69.543404896402564</v>
      </c>
    </row>
    <row r="221" spans="1:6" x14ac:dyDescent="0.35">
      <c r="A221" s="1">
        <v>45369</v>
      </c>
      <c r="B221" s="2">
        <v>66.069999999999993</v>
      </c>
      <c r="C221" s="4">
        <f t="shared" si="12"/>
        <v>66.851499999999987</v>
      </c>
      <c r="D221" s="4">
        <f t="shared" si="13"/>
        <v>1.2611989335548919</v>
      </c>
      <c r="E221" s="4">
        <f t="shared" si="14"/>
        <v>64.329102132890199</v>
      </c>
      <c r="F221" s="4">
        <f t="shared" si="15"/>
        <v>69.373897867109775</v>
      </c>
    </row>
    <row r="222" spans="1:6" x14ac:dyDescent="0.35">
      <c r="A222" s="1">
        <v>45366</v>
      </c>
      <c r="B222" s="2">
        <v>66.260000000000005</v>
      </c>
      <c r="C222" s="4">
        <f t="shared" si="12"/>
        <v>66.827999999999989</v>
      </c>
      <c r="D222" s="4">
        <f t="shared" si="13"/>
        <v>1.2676064057900607</v>
      </c>
      <c r="E222" s="4">
        <f t="shared" si="14"/>
        <v>64.292787188419865</v>
      </c>
      <c r="F222" s="4">
        <f t="shared" si="15"/>
        <v>69.363212811580112</v>
      </c>
    </row>
    <row r="223" spans="1:6" x14ac:dyDescent="0.35">
      <c r="A223" s="1">
        <v>45365</v>
      </c>
      <c r="B223" s="2">
        <v>67.42</v>
      </c>
      <c r="C223" s="4">
        <f t="shared" si="12"/>
        <v>66.846500000000006</v>
      </c>
      <c r="D223" s="4">
        <f t="shared" si="13"/>
        <v>1.2733981113540243</v>
      </c>
      <c r="E223" s="4">
        <f t="shared" si="14"/>
        <v>64.299703777291953</v>
      </c>
      <c r="F223" s="4">
        <f t="shared" si="15"/>
        <v>69.393296222708059</v>
      </c>
    </row>
    <row r="224" spans="1:6" x14ac:dyDescent="0.35">
      <c r="A224" s="1">
        <v>45364</v>
      </c>
      <c r="B224" s="2">
        <v>69.760000000000005</v>
      </c>
      <c r="C224" s="4">
        <f t="shared" si="12"/>
        <v>66.914000000000001</v>
      </c>
      <c r="D224" s="4">
        <f t="shared" si="13"/>
        <v>1.3853461661259969</v>
      </c>
      <c r="E224" s="4">
        <f t="shared" si="14"/>
        <v>64.143307667748005</v>
      </c>
      <c r="F224" s="4">
        <f t="shared" si="15"/>
        <v>69.684692332251998</v>
      </c>
    </row>
    <row r="225" spans="1:6" x14ac:dyDescent="0.35">
      <c r="A225" s="1">
        <v>45363</v>
      </c>
      <c r="B225" s="2">
        <v>71.42</v>
      </c>
      <c r="C225" s="4">
        <f t="shared" si="12"/>
        <v>67.100500000000011</v>
      </c>
      <c r="D225" s="4">
        <f t="shared" si="13"/>
        <v>1.6939583082236702</v>
      </c>
      <c r="E225" s="4">
        <f t="shared" si="14"/>
        <v>63.712583383552669</v>
      </c>
      <c r="F225" s="4">
        <f t="shared" si="15"/>
        <v>70.488416616447353</v>
      </c>
    </row>
    <row r="226" spans="1:6" x14ac:dyDescent="0.35">
      <c r="A226" s="1">
        <v>45362</v>
      </c>
      <c r="B226" s="2">
        <v>72.92</v>
      </c>
      <c r="C226" s="4">
        <f t="shared" si="12"/>
        <v>67.313000000000017</v>
      </c>
      <c r="D226" s="4">
        <f t="shared" si="13"/>
        <v>2.0963065138476287</v>
      </c>
      <c r="E226" s="4">
        <f t="shared" si="14"/>
        <v>63.120386972304757</v>
      </c>
      <c r="F226" s="4">
        <f t="shared" si="15"/>
        <v>71.505613027695276</v>
      </c>
    </row>
    <row r="227" spans="1:6" x14ac:dyDescent="0.35">
      <c r="A227" s="1">
        <v>45359</v>
      </c>
      <c r="B227" s="2">
        <v>72.31</v>
      </c>
      <c r="C227" s="4">
        <f t="shared" si="12"/>
        <v>67.623500000000007</v>
      </c>
      <c r="D227" s="4">
        <f t="shared" si="13"/>
        <v>2.3394492407402212</v>
      </c>
      <c r="E227" s="4">
        <f t="shared" si="14"/>
        <v>62.944601518519562</v>
      </c>
      <c r="F227" s="4">
        <f t="shared" si="15"/>
        <v>72.302398481480452</v>
      </c>
    </row>
    <row r="228" spans="1:6" x14ac:dyDescent="0.35">
      <c r="A228" s="1">
        <v>45358</v>
      </c>
      <c r="B228" s="2">
        <v>68.400000000000006</v>
      </c>
      <c r="C228" s="4">
        <f t="shared" si="12"/>
        <v>67.794499999999999</v>
      </c>
      <c r="D228" s="4">
        <f t="shared" si="13"/>
        <v>2.2637413169353078</v>
      </c>
      <c r="E228" s="4">
        <f t="shared" si="14"/>
        <v>63.26701736612938</v>
      </c>
      <c r="F228" s="4">
        <f t="shared" si="15"/>
        <v>72.321982633870618</v>
      </c>
    </row>
    <row r="229" spans="1:6" x14ac:dyDescent="0.35">
      <c r="A229" s="1">
        <v>45357</v>
      </c>
      <c r="B229" s="2">
        <v>68.61</v>
      </c>
      <c r="C229" s="4">
        <f t="shared" si="12"/>
        <v>67.947000000000003</v>
      </c>
      <c r="D229" s="4">
        <f t="shared" si="13"/>
        <v>2.2101744275056658</v>
      </c>
      <c r="E229" s="4">
        <f t="shared" si="14"/>
        <v>63.526651144988669</v>
      </c>
      <c r="F229" s="4">
        <f t="shared" si="15"/>
        <v>72.367348855011329</v>
      </c>
    </row>
    <row r="230" spans="1:6" x14ac:dyDescent="0.35">
      <c r="A230" s="1">
        <v>45356</v>
      </c>
      <c r="B230" s="2">
        <v>68.55</v>
      </c>
      <c r="C230" s="4">
        <f t="shared" si="12"/>
        <v>68.11699999999999</v>
      </c>
      <c r="D230" s="4">
        <f t="shared" si="13"/>
        <v>2.1173074882973424</v>
      </c>
      <c r="E230" s="4">
        <f t="shared" si="14"/>
        <v>63.882385023405305</v>
      </c>
      <c r="F230" s="4">
        <f t="shared" si="15"/>
        <v>72.351614976594675</v>
      </c>
    </row>
    <row r="231" spans="1:6" x14ac:dyDescent="0.35">
      <c r="A231" s="1">
        <v>45355</v>
      </c>
      <c r="B231" s="2">
        <v>67.709999999999994</v>
      </c>
      <c r="C231" s="4">
        <f t="shared" si="12"/>
        <v>68.243499999999997</v>
      </c>
      <c r="D231" s="4">
        <f t="shared" si="13"/>
        <v>2.0109631398909338</v>
      </c>
      <c r="E231" s="4">
        <f t="shared" si="14"/>
        <v>64.221573720218132</v>
      </c>
      <c r="F231" s="4">
        <f t="shared" si="15"/>
        <v>72.265426279781863</v>
      </c>
    </row>
    <row r="232" spans="1:6" x14ac:dyDescent="0.35">
      <c r="A232" s="1">
        <v>45352</v>
      </c>
      <c r="B232" s="2">
        <v>69.81</v>
      </c>
      <c r="C232" s="4">
        <f t="shared" si="12"/>
        <v>68.438999999999993</v>
      </c>
      <c r="D232" s="4">
        <f t="shared" si="13"/>
        <v>1.9631222580369272</v>
      </c>
      <c r="E232" s="4">
        <f t="shared" si="14"/>
        <v>64.512755483926142</v>
      </c>
      <c r="F232" s="4">
        <f t="shared" si="15"/>
        <v>72.365244516073844</v>
      </c>
    </row>
    <row r="233" spans="1:6" x14ac:dyDescent="0.35">
      <c r="A233" s="1">
        <v>45351</v>
      </c>
      <c r="B233" s="2">
        <v>71.69</v>
      </c>
      <c r="C233" s="4">
        <f t="shared" si="12"/>
        <v>68.587500000000006</v>
      </c>
      <c r="D233" s="4">
        <f t="shared" si="13"/>
        <v>2.0871748249727435</v>
      </c>
      <c r="E233" s="4">
        <f t="shared" si="14"/>
        <v>64.413150350054522</v>
      </c>
      <c r="F233" s="4">
        <f t="shared" si="15"/>
        <v>72.761849649945489</v>
      </c>
    </row>
    <row r="234" spans="1:6" x14ac:dyDescent="0.35">
      <c r="A234" s="1">
        <v>45350</v>
      </c>
      <c r="B234" s="2">
        <v>71</v>
      </c>
      <c r="C234" s="4">
        <f t="shared" si="12"/>
        <v>68.738</v>
      </c>
      <c r="D234" s="4">
        <f t="shared" si="13"/>
        <v>2.1463471294271117</v>
      </c>
      <c r="E234" s="4">
        <f t="shared" si="14"/>
        <v>64.445305741145773</v>
      </c>
      <c r="F234" s="4">
        <f t="shared" si="15"/>
        <v>73.030694258854226</v>
      </c>
    </row>
    <row r="235" spans="1:6" x14ac:dyDescent="0.35">
      <c r="A235" s="1">
        <v>45349</v>
      </c>
      <c r="B235" s="2">
        <v>72.08</v>
      </c>
      <c r="C235" s="4">
        <f t="shared" si="12"/>
        <v>69.051999999999992</v>
      </c>
      <c r="D235" s="4">
        <f t="shared" si="13"/>
        <v>2.1529203422328478</v>
      </c>
      <c r="E235" s="4">
        <f t="shared" si="14"/>
        <v>64.7461593155343</v>
      </c>
      <c r="F235" s="4">
        <f t="shared" si="15"/>
        <v>73.357840684465685</v>
      </c>
    </row>
    <row r="236" spans="1:6" x14ac:dyDescent="0.35">
      <c r="A236" s="1">
        <v>45348</v>
      </c>
      <c r="B236" s="2">
        <v>71.959999999999994</v>
      </c>
      <c r="C236" s="4">
        <f t="shared" si="12"/>
        <v>69.362499999999983</v>
      </c>
      <c r="D236" s="4">
        <f t="shared" si="13"/>
        <v>2.1015039257636423</v>
      </c>
      <c r="E236" s="4">
        <f t="shared" si="14"/>
        <v>65.159492148472694</v>
      </c>
      <c r="F236" s="4">
        <f t="shared" si="15"/>
        <v>73.565507851527272</v>
      </c>
    </row>
    <row r="237" spans="1:6" x14ac:dyDescent="0.35">
      <c r="A237" s="1">
        <v>45345</v>
      </c>
      <c r="B237" s="2">
        <v>73.98</v>
      </c>
      <c r="C237" s="4">
        <f t="shared" si="12"/>
        <v>69.67049999999999</v>
      </c>
      <c r="D237" s="4">
        <f t="shared" si="13"/>
        <v>2.2953332546713128</v>
      </c>
      <c r="E237" s="4">
        <f t="shared" si="14"/>
        <v>65.079833490657364</v>
      </c>
      <c r="F237" s="4">
        <f t="shared" si="15"/>
        <v>74.261166509342615</v>
      </c>
    </row>
    <row r="238" spans="1:6" x14ac:dyDescent="0.35">
      <c r="A238" s="1">
        <v>45344</v>
      </c>
      <c r="B238" s="2">
        <v>70.62</v>
      </c>
      <c r="C238" s="4">
        <f t="shared" si="12"/>
        <v>69.796000000000006</v>
      </c>
      <c r="D238" s="4">
        <f t="shared" si="13"/>
        <v>2.2751096676863733</v>
      </c>
      <c r="E238" s="4">
        <f t="shared" si="14"/>
        <v>65.245780664627262</v>
      </c>
      <c r="F238" s="4">
        <f t="shared" si="15"/>
        <v>74.346219335372751</v>
      </c>
    </row>
    <row r="239" spans="1:6" x14ac:dyDescent="0.35">
      <c r="A239" s="1">
        <v>45343</v>
      </c>
      <c r="B239" s="2">
        <v>77.13</v>
      </c>
      <c r="C239" s="4">
        <f t="shared" si="12"/>
        <v>70.227000000000004</v>
      </c>
      <c r="D239" s="4">
        <f t="shared" si="13"/>
        <v>2.7562748411578979</v>
      </c>
      <c r="E239" s="4">
        <f t="shared" si="14"/>
        <v>64.714450317684211</v>
      </c>
      <c r="F239" s="4">
        <f t="shared" si="15"/>
        <v>75.739549682315797</v>
      </c>
    </row>
    <row r="240" spans="1:6" x14ac:dyDescent="0.35">
      <c r="A240" s="1">
        <v>45342</v>
      </c>
      <c r="B240" s="2">
        <v>75.87</v>
      </c>
      <c r="C240" s="4">
        <f t="shared" si="12"/>
        <v>70.678500000000014</v>
      </c>
      <c r="D240" s="4">
        <f t="shared" si="13"/>
        <v>2.9003073544022882</v>
      </c>
      <c r="E240" s="4">
        <f t="shared" si="14"/>
        <v>64.87788529119544</v>
      </c>
      <c r="F240" s="4">
        <f t="shared" si="15"/>
        <v>76.479114708804588</v>
      </c>
    </row>
    <row r="241" spans="1:6" x14ac:dyDescent="0.35">
      <c r="A241" s="1">
        <v>45338</v>
      </c>
      <c r="B241" s="2">
        <v>76.569999999999993</v>
      </c>
      <c r="C241" s="4">
        <f t="shared" si="12"/>
        <v>71.203499999999991</v>
      </c>
      <c r="D241" s="4">
        <f t="shared" si="13"/>
        <v>2.9681193961833801</v>
      </c>
      <c r="E241" s="4">
        <f t="shared" si="14"/>
        <v>65.267261207633226</v>
      </c>
      <c r="F241" s="4">
        <f t="shared" si="15"/>
        <v>77.139738792366757</v>
      </c>
    </row>
    <row r="242" spans="1:6" x14ac:dyDescent="0.35">
      <c r="A242" s="1">
        <v>45337</v>
      </c>
      <c r="B242" s="2">
        <v>77.760000000000005</v>
      </c>
      <c r="C242" s="4">
        <f t="shared" si="12"/>
        <v>71.778500000000008</v>
      </c>
      <c r="D242" s="4">
        <f t="shared" si="13"/>
        <v>3.0670152836267377</v>
      </c>
      <c r="E242" s="4">
        <f t="shared" si="14"/>
        <v>65.644469432746533</v>
      </c>
      <c r="F242" s="4">
        <f t="shared" si="15"/>
        <v>77.912530567253484</v>
      </c>
    </row>
    <row r="243" spans="1:6" x14ac:dyDescent="0.35">
      <c r="A243" s="1">
        <v>45336</v>
      </c>
      <c r="B243" s="2">
        <v>76.19</v>
      </c>
      <c r="C243" s="4">
        <f t="shared" si="12"/>
        <v>72.217000000000013</v>
      </c>
      <c r="D243" s="4">
        <f t="shared" si="13"/>
        <v>3.0393323279957394</v>
      </c>
      <c r="E243" s="4">
        <f t="shared" si="14"/>
        <v>66.138335344008539</v>
      </c>
      <c r="F243" s="4">
        <f t="shared" si="15"/>
        <v>78.295664655991487</v>
      </c>
    </row>
    <row r="244" spans="1:6" x14ac:dyDescent="0.35">
      <c r="A244" s="1">
        <v>45335</v>
      </c>
      <c r="B244" s="2">
        <v>74.39</v>
      </c>
      <c r="C244" s="4">
        <f t="shared" si="12"/>
        <v>72.448499999999996</v>
      </c>
      <c r="D244" s="4">
        <f t="shared" si="13"/>
        <v>3.0196361949744874</v>
      </c>
      <c r="E244" s="4">
        <f t="shared" si="14"/>
        <v>66.409227610051019</v>
      </c>
      <c r="F244" s="4">
        <f t="shared" si="15"/>
        <v>78.487772389948972</v>
      </c>
    </row>
    <row r="245" spans="1:6" x14ac:dyDescent="0.35">
      <c r="A245" s="1">
        <v>45334</v>
      </c>
      <c r="B245" s="2">
        <v>78.849999999999994</v>
      </c>
      <c r="C245" s="4">
        <f t="shared" si="12"/>
        <v>72.820000000000007</v>
      </c>
      <c r="D245" s="4">
        <f t="shared" si="13"/>
        <v>3.3130439176080957</v>
      </c>
      <c r="E245" s="4">
        <f t="shared" si="14"/>
        <v>66.193912164783811</v>
      </c>
      <c r="F245" s="4">
        <f t="shared" si="15"/>
        <v>79.446087835216204</v>
      </c>
    </row>
    <row r="246" spans="1:6" x14ac:dyDescent="0.35">
      <c r="A246" s="1">
        <v>45331</v>
      </c>
      <c r="B246" s="2">
        <v>78.09</v>
      </c>
      <c r="C246" s="4">
        <f t="shared" si="12"/>
        <v>73.078499999999991</v>
      </c>
      <c r="D246" s="4">
        <f t="shared" si="13"/>
        <v>3.5067909475758601</v>
      </c>
      <c r="E246" s="4">
        <f t="shared" si="14"/>
        <v>66.064918104848275</v>
      </c>
      <c r="F246" s="4">
        <f t="shared" si="15"/>
        <v>80.092081895151708</v>
      </c>
    </row>
    <row r="247" spans="1:6" x14ac:dyDescent="0.35">
      <c r="A247" s="1">
        <v>45330</v>
      </c>
      <c r="B247" s="2">
        <v>74.489999999999995</v>
      </c>
      <c r="C247" s="4">
        <f t="shared" si="12"/>
        <v>73.1875</v>
      </c>
      <c r="D247" s="4">
        <f t="shared" si="13"/>
        <v>3.5150801911194001</v>
      </c>
      <c r="E247" s="4">
        <f t="shared" si="14"/>
        <v>66.157339617761195</v>
      </c>
      <c r="F247" s="4">
        <f t="shared" si="15"/>
        <v>80.217660382238805</v>
      </c>
    </row>
    <row r="248" spans="1:6" x14ac:dyDescent="0.35">
      <c r="A248" s="1">
        <v>45329</v>
      </c>
      <c r="B248" s="2">
        <v>73.260000000000005</v>
      </c>
      <c r="C248" s="4">
        <f t="shared" si="12"/>
        <v>73.430499999999995</v>
      </c>
      <c r="D248" s="4">
        <f t="shared" si="13"/>
        <v>3.3393105201523268</v>
      </c>
      <c r="E248" s="4">
        <f t="shared" si="14"/>
        <v>66.751878959695347</v>
      </c>
      <c r="F248" s="4">
        <f t="shared" si="15"/>
        <v>80.109121040304643</v>
      </c>
    </row>
    <row r="249" spans="1:6" x14ac:dyDescent="0.35">
      <c r="A249" s="1">
        <v>45328</v>
      </c>
      <c r="B249" s="2">
        <v>74.849999999999994</v>
      </c>
      <c r="C249" s="4">
        <f t="shared" si="12"/>
        <v>73.742499999999993</v>
      </c>
      <c r="D249" s="4">
        <f t="shared" si="13"/>
        <v>3.1610977128206592</v>
      </c>
      <c r="E249" s="4">
        <f t="shared" si="14"/>
        <v>67.420304574358681</v>
      </c>
      <c r="F249" s="4">
        <f t="shared" si="15"/>
        <v>80.064695425641304</v>
      </c>
    </row>
    <row r="250" spans="1:6" x14ac:dyDescent="0.35">
      <c r="A250" s="1">
        <v>45327</v>
      </c>
      <c r="B250" s="2">
        <v>74.819999999999993</v>
      </c>
      <c r="C250" s="4">
        <f t="shared" si="12"/>
        <v>74.055999999999983</v>
      </c>
      <c r="D250" s="4">
        <f t="shared" si="13"/>
        <v>2.9332923481985218</v>
      </c>
      <c r="E250" s="4">
        <f t="shared" si="14"/>
        <v>68.189415303602942</v>
      </c>
      <c r="F250" s="4">
        <f t="shared" si="15"/>
        <v>79.922584696397024</v>
      </c>
    </row>
    <row r="251" spans="1:6" x14ac:dyDescent="0.35">
      <c r="A251" s="1">
        <v>45324</v>
      </c>
      <c r="B251" s="2">
        <v>75.7</v>
      </c>
      <c r="C251" s="4">
        <f t="shared" si="12"/>
        <v>74.455500000000001</v>
      </c>
      <c r="D251" s="4">
        <f t="shared" si="13"/>
        <v>2.5624509263593707</v>
      </c>
      <c r="E251" s="4">
        <f t="shared" si="14"/>
        <v>69.330598147281265</v>
      </c>
      <c r="F251" s="4">
        <f t="shared" si="15"/>
        <v>79.580401852718737</v>
      </c>
    </row>
    <row r="252" spans="1:6" x14ac:dyDescent="0.35">
      <c r="A252" s="1">
        <v>45323</v>
      </c>
      <c r="B252" s="2">
        <v>72.62</v>
      </c>
      <c r="C252" s="4">
        <f t="shared" si="12"/>
        <v>74.595999999999975</v>
      </c>
      <c r="D252" s="4">
        <f t="shared" si="13"/>
        <v>2.3739911541536958</v>
      </c>
      <c r="E252" s="4">
        <f t="shared" si="14"/>
        <v>69.84801769169259</v>
      </c>
      <c r="F252" s="4">
        <f t="shared" si="15"/>
        <v>79.343982308307361</v>
      </c>
    </row>
    <row r="253" spans="1:6" x14ac:dyDescent="0.35">
      <c r="A253" s="1">
        <v>45322</v>
      </c>
      <c r="B253" s="2">
        <v>66.56</v>
      </c>
      <c r="C253" s="4">
        <f t="shared" si="12"/>
        <v>74.339500000000001</v>
      </c>
      <c r="D253" s="4">
        <f t="shared" si="13"/>
        <v>2.894246836398028</v>
      </c>
      <c r="E253" s="4">
        <f t="shared" si="14"/>
        <v>68.55100632720395</v>
      </c>
      <c r="F253" s="4">
        <f t="shared" si="15"/>
        <v>80.127993672796052</v>
      </c>
    </row>
    <row r="254" spans="1:6" x14ac:dyDescent="0.35">
      <c r="A254" s="1">
        <v>45321</v>
      </c>
      <c r="B254" s="2">
        <v>69.72</v>
      </c>
      <c r="C254" s="4">
        <f t="shared" si="12"/>
        <v>74.275499999999994</v>
      </c>
      <c r="D254" s="4">
        <f t="shared" si="13"/>
        <v>2.9802591749711964</v>
      </c>
      <c r="E254" s="4">
        <f t="shared" si="14"/>
        <v>68.314981650057604</v>
      </c>
      <c r="F254" s="4">
        <f t="shared" si="15"/>
        <v>80.236018349942384</v>
      </c>
    </row>
    <row r="255" spans="1:6" x14ac:dyDescent="0.35">
      <c r="A255" s="1">
        <v>45320</v>
      </c>
      <c r="B255" s="2">
        <v>70.819999999999993</v>
      </c>
      <c r="C255" s="4">
        <f t="shared" si="12"/>
        <v>74.212500000000006</v>
      </c>
      <c r="D255" s="4">
        <f t="shared" si="13"/>
        <v>3.0387478918133368</v>
      </c>
      <c r="E255" s="4">
        <f t="shared" si="14"/>
        <v>68.135004216373332</v>
      </c>
      <c r="F255" s="4">
        <f t="shared" si="15"/>
        <v>80.289995783626679</v>
      </c>
    </row>
    <row r="256" spans="1:6" x14ac:dyDescent="0.35">
      <c r="A256" s="1">
        <v>45317</v>
      </c>
      <c r="B256" s="2">
        <v>69.53</v>
      </c>
      <c r="C256" s="4">
        <f t="shared" si="12"/>
        <v>74.090999999999994</v>
      </c>
      <c r="D256" s="4">
        <f t="shared" si="13"/>
        <v>3.1720386189326248</v>
      </c>
      <c r="E256" s="4">
        <f t="shared" si="14"/>
        <v>67.746922762134744</v>
      </c>
      <c r="F256" s="4">
        <f t="shared" si="15"/>
        <v>80.435077237865244</v>
      </c>
    </row>
    <row r="257" spans="1:6" x14ac:dyDescent="0.35">
      <c r="A257" s="1">
        <v>45316</v>
      </c>
      <c r="B257" s="2">
        <v>69.56</v>
      </c>
      <c r="C257" s="4">
        <f t="shared" si="12"/>
        <v>73.86999999999999</v>
      </c>
      <c r="D257" s="4">
        <f t="shared" si="13"/>
        <v>3.3224794957982802</v>
      </c>
      <c r="E257" s="4">
        <f t="shared" si="14"/>
        <v>67.225041008403423</v>
      </c>
      <c r="F257" s="4">
        <f t="shared" si="15"/>
        <v>80.514958991596558</v>
      </c>
    </row>
    <row r="258" spans="1:6" x14ac:dyDescent="0.35">
      <c r="A258" s="1">
        <v>45315</v>
      </c>
      <c r="B258" s="2">
        <v>68.319999999999993</v>
      </c>
      <c r="C258" s="4">
        <f t="shared" si="12"/>
        <v>73.754999999999995</v>
      </c>
      <c r="D258" s="4">
        <f t="shared" si="13"/>
        <v>3.4695309481254086</v>
      </c>
      <c r="E258" s="4">
        <f t="shared" si="14"/>
        <v>66.815938103749176</v>
      </c>
      <c r="F258" s="4">
        <f t="shared" si="15"/>
        <v>80.694061896250815</v>
      </c>
    </row>
    <row r="259" spans="1:6" x14ac:dyDescent="0.35">
      <c r="A259" s="1">
        <v>45314</v>
      </c>
      <c r="B259" s="2">
        <v>70.22</v>
      </c>
      <c r="C259" s="4">
        <f t="shared" si="12"/>
        <v>73.409500000000008</v>
      </c>
      <c r="D259" s="4">
        <f t="shared" si="13"/>
        <v>3.4602824667937155</v>
      </c>
      <c r="E259" s="4">
        <f t="shared" si="14"/>
        <v>66.48893506641258</v>
      </c>
      <c r="F259" s="4">
        <f t="shared" si="15"/>
        <v>80.330064933587437</v>
      </c>
    </row>
    <row r="260" spans="1:6" x14ac:dyDescent="0.35">
      <c r="A260" s="1">
        <v>45313</v>
      </c>
      <c r="B260" s="2">
        <v>70.819999999999993</v>
      </c>
      <c r="C260" s="4">
        <f t="shared" si="12"/>
        <v>73.156999999999996</v>
      </c>
      <c r="D260" s="4">
        <f t="shared" si="13"/>
        <v>3.4557735747586245</v>
      </c>
      <c r="E260" s="4">
        <f t="shared" si="14"/>
        <v>66.245452850482749</v>
      </c>
      <c r="F260" s="4">
        <f t="shared" si="15"/>
        <v>80.068547149517244</v>
      </c>
    </row>
    <row r="261" spans="1:6" x14ac:dyDescent="0.35">
      <c r="A261" s="1">
        <v>45310</v>
      </c>
      <c r="B261" s="2">
        <v>70.66</v>
      </c>
      <c r="C261" s="4">
        <f t="shared" si="12"/>
        <v>72.861500000000007</v>
      </c>
      <c r="D261" s="4">
        <f t="shared" si="13"/>
        <v>3.4035823407110342</v>
      </c>
      <c r="E261" s="4">
        <f t="shared" si="14"/>
        <v>66.054335318577941</v>
      </c>
      <c r="F261" s="4">
        <f t="shared" si="15"/>
        <v>79.668664681422072</v>
      </c>
    </row>
    <row r="262" spans="1:6" x14ac:dyDescent="0.35">
      <c r="A262" s="1">
        <v>45309</v>
      </c>
      <c r="B262" s="2">
        <v>69.22</v>
      </c>
      <c r="C262" s="4">
        <f t="shared" si="12"/>
        <v>72.4345</v>
      </c>
      <c r="D262" s="4">
        <f t="shared" si="13"/>
        <v>3.2962561717803425</v>
      </c>
      <c r="E262" s="4">
        <f t="shared" si="14"/>
        <v>65.841987656439315</v>
      </c>
      <c r="F262" s="4">
        <f t="shared" si="15"/>
        <v>79.027012343560685</v>
      </c>
    </row>
    <row r="263" spans="1:6" x14ac:dyDescent="0.35">
      <c r="A263" s="1">
        <v>45308</v>
      </c>
      <c r="B263" s="2">
        <v>68.319999999999993</v>
      </c>
      <c r="C263" s="4">
        <f t="shared" si="12"/>
        <v>72.040999999999997</v>
      </c>
      <c r="D263" s="4">
        <f t="shared" si="13"/>
        <v>3.294196260091375</v>
      </c>
      <c r="E263" s="4">
        <f t="shared" si="14"/>
        <v>65.452607479817246</v>
      </c>
      <c r="F263" s="4">
        <f t="shared" si="15"/>
        <v>78.629392520182748</v>
      </c>
    </row>
    <row r="264" spans="1:6" x14ac:dyDescent="0.35">
      <c r="A264" s="1">
        <v>45307</v>
      </c>
      <c r="B264" s="2">
        <v>67.86</v>
      </c>
      <c r="C264" s="4">
        <f t="shared" si="12"/>
        <v>71.714499999999987</v>
      </c>
      <c r="D264" s="4">
        <f t="shared" si="13"/>
        <v>3.3679778428606091</v>
      </c>
      <c r="E264" s="4">
        <f t="shared" si="14"/>
        <v>64.978544314278764</v>
      </c>
      <c r="F264" s="4">
        <f t="shared" si="15"/>
        <v>78.450455685721209</v>
      </c>
    </row>
    <row r="265" spans="1:6" x14ac:dyDescent="0.35">
      <c r="A265" s="1">
        <v>45303</v>
      </c>
      <c r="B265" s="2">
        <v>70.34</v>
      </c>
      <c r="C265" s="4">
        <f t="shared" si="12"/>
        <v>71.288999999999973</v>
      </c>
      <c r="D265" s="4">
        <f t="shared" si="13"/>
        <v>2.951426604203466</v>
      </c>
      <c r="E265" s="4">
        <f t="shared" si="14"/>
        <v>65.386146791593035</v>
      </c>
      <c r="F265" s="4">
        <f t="shared" si="15"/>
        <v>77.191853208406911</v>
      </c>
    </row>
    <row r="266" spans="1:6" x14ac:dyDescent="0.35">
      <c r="A266" s="1">
        <v>45302</v>
      </c>
      <c r="B266" s="2">
        <v>73.040000000000006</v>
      </c>
      <c r="C266" s="4">
        <f t="shared" si="12"/>
        <v>71.036499999999975</v>
      </c>
      <c r="D266" s="4">
        <f t="shared" si="13"/>
        <v>2.5471126300185474</v>
      </c>
      <c r="E266" s="4">
        <f t="shared" si="14"/>
        <v>65.942274739962883</v>
      </c>
      <c r="F266" s="4">
        <f t="shared" si="15"/>
        <v>76.130725260037067</v>
      </c>
    </row>
    <row r="267" spans="1:6" x14ac:dyDescent="0.35">
      <c r="A267" s="1">
        <v>45301</v>
      </c>
      <c r="B267" s="2">
        <v>74.72</v>
      </c>
      <c r="C267" s="4">
        <f t="shared" si="12"/>
        <v>71.047999999999973</v>
      </c>
      <c r="D267" s="4">
        <f t="shared" si="13"/>
        <v>2.5631476742474288</v>
      </c>
      <c r="E267" s="4">
        <f t="shared" si="14"/>
        <v>65.921704651505109</v>
      </c>
      <c r="F267" s="4">
        <f t="shared" si="15"/>
        <v>76.174295348494837</v>
      </c>
    </row>
    <row r="268" spans="1:6" x14ac:dyDescent="0.35">
      <c r="A268" s="1">
        <v>45300</v>
      </c>
      <c r="B268" s="2">
        <v>76.81</v>
      </c>
      <c r="C268" s="4">
        <f t="shared" si="12"/>
        <v>71.225499999999982</v>
      </c>
      <c r="D268" s="4">
        <f t="shared" si="13"/>
        <v>2.8202136000664919</v>
      </c>
      <c r="E268" s="4">
        <f t="shared" si="14"/>
        <v>65.585072799866992</v>
      </c>
      <c r="F268" s="4">
        <f t="shared" si="15"/>
        <v>76.865927200132973</v>
      </c>
    </row>
    <row r="269" spans="1:6" x14ac:dyDescent="0.35">
      <c r="A269" s="1">
        <v>45299</v>
      </c>
      <c r="B269" s="2">
        <v>77.760000000000005</v>
      </c>
      <c r="C269" s="4">
        <f t="shared" si="12"/>
        <v>71.370999999999981</v>
      </c>
      <c r="D269" s="4">
        <f t="shared" si="13"/>
        <v>3.0676650729830355</v>
      </c>
      <c r="E269" s="4">
        <f t="shared" si="14"/>
        <v>65.235669854033915</v>
      </c>
      <c r="F269" s="4">
        <f t="shared" si="15"/>
        <v>77.506330145966047</v>
      </c>
    </row>
    <row r="270" spans="1:6" x14ac:dyDescent="0.35">
      <c r="A270" s="1">
        <v>45296</v>
      </c>
      <c r="B270" s="2">
        <v>75.64</v>
      </c>
      <c r="C270" s="4">
        <f t="shared" si="12"/>
        <v>71.412000000000006</v>
      </c>
      <c r="D270" s="4">
        <f t="shared" si="13"/>
        <v>3.118545494296983</v>
      </c>
      <c r="E270" s="4">
        <f t="shared" si="14"/>
        <v>65.174909011406044</v>
      </c>
      <c r="F270" s="4">
        <f t="shared" si="15"/>
        <v>77.649090988593969</v>
      </c>
    </row>
    <row r="271" spans="1:6" x14ac:dyDescent="0.35">
      <c r="A271" s="1">
        <v>45295</v>
      </c>
      <c r="B271" s="2">
        <v>76.290000000000006</v>
      </c>
      <c r="C271" s="4">
        <f t="shared" si="12"/>
        <v>71.441500000000005</v>
      </c>
      <c r="D271" s="4">
        <f t="shared" si="13"/>
        <v>3.1614637037296527</v>
      </c>
      <c r="E271" s="4">
        <f t="shared" si="14"/>
        <v>65.118572592540701</v>
      </c>
      <c r="F271" s="4">
        <f t="shared" si="15"/>
        <v>77.764427407459308</v>
      </c>
    </row>
    <row r="272" spans="1:6" x14ac:dyDescent="0.35">
      <c r="A272" s="1">
        <v>45294</v>
      </c>
      <c r="B272" s="2">
        <v>79.13</v>
      </c>
      <c r="C272" s="4">
        <f t="shared" si="12"/>
        <v>71.76700000000001</v>
      </c>
      <c r="D272" s="4">
        <f t="shared" si="13"/>
        <v>3.5742287279915383</v>
      </c>
      <c r="E272" s="4">
        <f t="shared" si="14"/>
        <v>64.618542544016933</v>
      </c>
      <c r="F272" s="4">
        <f t="shared" si="15"/>
        <v>78.915457455983088</v>
      </c>
    </row>
    <row r="273" spans="1:6" x14ac:dyDescent="0.35">
      <c r="A273" s="1">
        <v>45293</v>
      </c>
      <c r="B273" s="2">
        <v>81.08</v>
      </c>
      <c r="C273" s="4">
        <f t="shared" si="12"/>
        <v>72.493000000000009</v>
      </c>
      <c r="D273" s="4">
        <f t="shared" si="13"/>
        <v>3.9024339840668683</v>
      </c>
      <c r="E273" s="4">
        <f t="shared" si="14"/>
        <v>64.688132031866274</v>
      </c>
      <c r="F273" s="4">
        <f t="shared" si="15"/>
        <v>80.297867968133744</v>
      </c>
    </row>
    <row r="274" spans="1:6" x14ac:dyDescent="0.35">
      <c r="A274" s="1">
        <v>45289</v>
      </c>
      <c r="B274" s="2">
        <v>81.05</v>
      </c>
      <c r="C274" s="4">
        <f t="shared" si="12"/>
        <v>73.059499999999986</v>
      </c>
      <c r="D274" s="4">
        <f t="shared" si="13"/>
        <v>4.2643527938011889</v>
      </c>
      <c r="E274" s="4">
        <f t="shared" si="14"/>
        <v>64.530794412397611</v>
      </c>
      <c r="F274" s="4">
        <f t="shared" si="15"/>
        <v>81.58820558760236</v>
      </c>
    </row>
    <row r="275" spans="1:6" x14ac:dyDescent="0.35">
      <c r="A275" s="1">
        <v>45288</v>
      </c>
      <c r="B275" s="2">
        <v>81.92</v>
      </c>
      <c r="C275" s="4">
        <f t="shared" si="12"/>
        <v>73.614500000000007</v>
      </c>
      <c r="D275" s="4">
        <f t="shared" si="13"/>
        <v>4.6423415158732135</v>
      </c>
      <c r="E275" s="4">
        <f t="shared" si="14"/>
        <v>64.329816968253581</v>
      </c>
      <c r="F275" s="4">
        <f t="shared" si="15"/>
        <v>82.899183031746432</v>
      </c>
    </row>
    <row r="276" spans="1:6" x14ac:dyDescent="0.35">
      <c r="A276" s="1">
        <v>45287</v>
      </c>
      <c r="B276" s="2">
        <v>82.39</v>
      </c>
      <c r="C276" s="4">
        <f t="shared" si="12"/>
        <v>74.257500000000007</v>
      </c>
      <c r="D276" s="4">
        <f t="shared" si="13"/>
        <v>4.9146921317616643</v>
      </c>
      <c r="E276" s="4">
        <f t="shared" si="14"/>
        <v>64.428115736476684</v>
      </c>
      <c r="F276" s="4">
        <f t="shared" si="15"/>
        <v>84.086884263523331</v>
      </c>
    </row>
    <row r="277" spans="1:6" x14ac:dyDescent="0.35">
      <c r="A277" s="1">
        <v>45286</v>
      </c>
      <c r="B277" s="2">
        <v>82.59</v>
      </c>
      <c r="C277" s="4">
        <f t="shared" si="12"/>
        <v>74.908999999999992</v>
      </c>
      <c r="D277" s="4">
        <f t="shared" si="13"/>
        <v>5.1086151743892412</v>
      </c>
      <c r="E277" s="4">
        <f t="shared" si="14"/>
        <v>64.691769651221506</v>
      </c>
      <c r="F277" s="4">
        <f t="shared" si="15"/>
        <v>85.126230348778478</v>
      </c>
    </row>
    <row r="278" spans="1:6" x14ac:dyDescent="0.35">
      <c r="A278" s="1">
        <v>45282</v>
      </c>
      <c r="B278" s="2">
        <v>84.95</v>
      </c>
      <c r="C278" s="4">
        <f t="shared" ref="C278:C341" si="16">AVERAGE(B259:B278)</f>
        <v>75.740499999999997</v>
      </c>
      <c r="D278" s="4">
        <f t="shared" ref="D278:D341" si="17">_xlfn.STDEV.P(B259:B278)</f>
        <v>5.3176023497437281</v>
      </c>
      <c r="E278" s="4">
        <f t="shared" ref="E278:E341" si="18">C278-2*D278</f>
        <v>65.105295300512537</v>
      </c>
      <c r="F278" s="4">
        <f t="shared" ref="F278:F341" si="19">C278+2*D278</f>
        <v>86.375704699487457</v>
      </c>
    </row>
    <row r="279" spans="1:6" x14ac:dyDescent="0.35">
      <c r="A279" s="1">
        <v>45281</v>
      </c>
      <c r="B279" s="2">
        <v>85.24</v>
      </c>
      <c r="C279" s="4">
        <f t="shared" si="16"/>
        <v>76.491500000000002</v>
      </c>
      <c r="D279" s="4">
        <f t="shared" si="17"/>
        <v>5.5408593873152929</v>
      </c>
      <c r="E279" s="4">
        <f t="shared" si="18"/>
        <v>65.409781225369414</v>
      </c>
      <c r="F279" s="4">
        <f t="shared" si="19"/>
        <v>87.57321877463059</v>
      </c>
    </row>
    <row r="280" spans="1:6" x14ac:dyDescent="0.35">
      <c r="A280" s="1">
        <v>45280</v>
      </c>
      <c r="B280" s="2">
        <v>83.59</v>
      </c>
      <c r="C280" s="4">
        <f t="shared" si="16"/>
        <v>77.13000000000001</v>
      </c>
      <c r="D280" s="4">
        <f t="shared" si="17"/>
        <v>5.5861059782284839</v>
      </c>
      <c r="E280" s="4">
        <f t="shared" si="18"/>
        <v>65.957788043543047</v>
      </c>
      <c r="F280" s="4">
        <f t="shared" si="19"/>
        <v>88.302211956456972</v>
      </c>
    </row>
    <row r="281" spans="1:6" x14ac:dyDescent="0.35">
      <c r="A281" s="1">
        <v>45279</v>
      </c>
      <c r="B281" s="2">
        <v>87.03</v>
      </c>
      <c r="C281" s="4">
        <f t="shared" si="16"/>
        <v>77.948499999999996</v>
      </c>
      <c r="D281" s="4">
        <f t="shared" si="17"/>
        <v>5.7742612298024767</v>
      </c>
      <c r="E281" s="4">
        <f t="shared" si="18"/>
        <v>66.399977540395042</v>
      </c>
      <c r="F281" s="4">
        <f t="shared" si="19"/>
        <v>89.497022459604949</v>
      </c>
    </row>
    <row r="282" spans="1:6" x14ac:dyDescent="0.35">
      <c r="A282" s="1">
        <v>45278</v>
      </c>
      <c r="B282" s="2">
        <v>84.46</v>
      </c>
      <c r="C282" s="4">
        <f t="shared" si="16"/>
        <v>78.710499999999996</v>
      </c>
      <c r="D282" s="4">
        <f t="shared" si="17"/>
        <v>5.5742349026570448</v>
      </c>
      <c r="E282" s="4">
        <f t="shared" si="18"/>
        <v>67.562030194685903</v>
      </c>
      <c r="F282" s="4">
        <f t="shared" si="19"/>
        <v>89.858969805314089</v>
      </c>
    </row>
    <row r="283" spans="1:6" x14ac:dyDescent="0.35">
      <c r="A283" s="1">
        <v>45275</v>
      </c>
      <c r="B283" s="2">
        <v>80.680000000000007</v>
      </c>
      <c r="C283" s="4">
        <f t="shared" si="16"/>
        <v>79.328499999999991</v>
      </c>
      <c r="D283" s="4">
        <f t="shared" si="17"/>
        <v>5.0483653542508184</v>
      </c>
      <c r="E283" s="4">
        <f t="shared" si="18"/>
        <v>69.231769291498352</v>
      </c>
      <c r="F283" s="4">
        <f t="shared" si="19"/>
        <v>89.42523070850163</v>
      </c>
    </row>
    <row r="284" spans="1:6" x14ac:dyDescent="0.35">
      <c r="A284" s="1">
        <v>45274</v>
      </c>
      <c r="B284" s="2">
        <v>83.26</v>
      </c>
      <c r="C284" s="4">
        <f t="shared" si="16"/>
        <v>80.098499999999987</v>
      </c>
      <c r="D284" s="4">
        <f t="shared" si="17"/>
        <v>4.3691649945956481</v>
      </c>
      <c r="E284" s="4">
        <f t="shared" si="18"/>
        <v>71.360170010808687</v>
      </c>
      <c r="F284" s="4">
        <f t="shared" si="19"/>
        <v>88.836829989191287</v>
      </c>
    </row>
    <row r="285" spans="1:6" x14ac:dyDescent="0.35">
      <c r="A285" s="1">
        <v>45273</v>
      </c>
      <c r="B285" s="2">
        <v>83.97</v>
      </c>
      <c r="C285" s="4">
        <f t="shared" si="16"/>
        <v>80.78</v>
      </c>
      <c r="D285" s="4">
        <f t="shared" si="17"/>
        <v>3.8227176197045987</v>
      </c>
      <c r="E285" s="4">
        <f t="shared" si="18"/>
        <v>73.134564760590806</v>
      </c>
      <c r="F285" s="4">
        <f t="shared" si="19"/>
        <v>88.425435239409197</v>
      </c>
    </row>
    <row r="286" spans="1:6" x14ac:dyDescent="0.35">
      <c r="A286" s="1">
        <v>45272</v>
      </c>
      <c r="B286" s="2">
        <v>85.82</v>
      </c>
      <c r="C286" s="4">
        <f t="shared" si="16"/>
        <v>81.418999999999997</v>
      </c>
      <c r="D286" s="4">
        <f t="shared" si="17"/>
        <v>3.5326405138366388</v>
      </c>
      <c r="E286" s="4">
        <f t="shared" si="18"/>
        <v>74.353718972326718</v>
      </c>
      <c r="F286" s="4">
        <f t="shared" si="19"/>
        <v>88.484281027673276</v>
      </c>
    </row>
    <row r="287" spans="1:6" x14ac:dyDescent="0.35">
      <c r="A287" s="1">
        <v>45271</v>
      </c>
      <c r="B287" s="2">
        <v>84.69</v>
      </c>
      <c r="C287" s="4">
        <f t="shared" si="16"/>
        <v>81.917500000000004</v>
      </c>
      <c r="D287" s="4">
        <f t="shared" si="17"/>
        <v>3.2437923407641236</v>
      </c>
      <c r="E287" s="4">
        <f t="shared" si="18"/>
        <v>75.429915318471757</v>
      </c>
      <c r="F287" s="4">
        <f t="shared" si="19"/>
        <v>88.405084681528251</v>
      </c>
    </row>
    <row r="288" spans="1:6" x14ac:dyDescent="0.35">
      <c r="A288" s="1">
        <v>45268</v>
      </c>
      <c r="B288" s="2">
        <v>80.08</v>
      </c>
      <c r="C288" s="4">
        <f t="shared" si="16"/>
        <v>82.081000000000003</v>
      </c>
      <c r="D288" s="4">
        <f t="shared" si="17"/>
        <v>3.0594033732085726</v>
      </c>
      <c r="E288" s="4">
        <f t="shared" si="18"/>
        <v>75.962193253582853</v>
      </c>
      <c r="F288" s="4">
        <f t="shared" si="19"/>
        <v>88.199806746417153</v>
      </c>
    </row>
    <row r="289" spans="1:6" x14ac:dyDescent="0.35">
      <c r="A289" s="1">
        <v>45267</v>
      </c>
      <c r="B289" s="2">
        <v>78.97</v>
      </c>
      <c r="C289" s="4">
        <f t="shared" si="16"/>
        <v>82.141500000000008</v>
      </c>
      <c r="D289" s="4">
        <f t="shared" si="17"/>
        <v>2.9844015731801234</v>
      </c>
      <c r="E289" s="4">
        <f t="shared" si="18"/>
        <v>76.172696853639764</v>
      </c>
      <c r="F289" s="4">
        <f t="shared" si="19"/>
        <v>88.110303146360252</v>
      </c>
    </row>
    <row r="290" spans="1:6" x14ac:dyDescent="0.35">
      <c r="A290" s="1">
        <v>45266</v>
      </c>
      <c r="B290" s="2">
        <v>79.540000000000006</v>
      </c>
      <c r="C290" s="4">
        <f t="shared" si="16"/>
        <v>82.336500000000001</v>
      </c>
      <c r="D290" s="4">
        <f t="shared" si="17"/>
        <v>2.6633705619008392</v>
      </c>
      <c r="E290" s="4">
        <f t="shared" si="18"/>
        <v>77.009758876198319</v>
      </c>
      <c r="F290" s="4">
        <f t="shared" si="19"/>
        <v>87.663241123801683</v>
      </c>
    </row>
    <row r="291" spans="1:6" x14ac:dyDescent="0.35">
      <c r="A291" s="1">
        <v>45265</v>
      </c>
      <c r="B291" s="2">
        <v>81.66</v>
      </c>
      <c r="C291" s="4">
        <f t="shared" si="16"/>
        <v>82.605000000000004</v>
      </c>
      <c r="D291" s="4">
        <f t="shared" si="17"/>
        <v>2.283927538255099</v>
      </c>
      <c r="E291" s="4">
        <f t="shared" si="18"/>
        <v>78.037144923489805</v>
      </c>
      <c r="F291" s="4">
        <f t="shared" si="19"/>
        <v>87.172855076510203</v>
      </c>
    </row>
    <row r="292" spans="1:6" x14ac:dyDescent="0.35">
      <c r="A292" s="1">
        <v>45264</v>
      </c>
      <c r="B292" s="2">
        <v>82.99</v>
      </c>
      <c r="C292" s="4">
        <f t="shared" si="16"/>
        <v>82.798000000000002</v>
      </c>
      <c r="D292" s="4">
        <f t="shared" si="17"/>
        <v>2.140725577929127</v>
      </c>
      <c r="E292" s="4">
        <f t="shared" si="18"/>
        <v>78.516548844141752</v>
      </c>
      <c r="F292" s="4">
        <f t="shared" si="19"/>
        <v>87.079451155858251</v>
      </c>
    </row>
    <row r="293" spans="1:6" x14ac:dyDescent="0.35">
      <c r="A293" s="1">
        <v>45261</v>
      </c>
      <c r="B293" s="2">
        <v>82.04</v>
      </c>
      <c r="C293" s="4">
        <f t="shared" si="16"/>
        <v>82.846000000000004</v>
      </c>
      <c r="D293" s="4">
        <f t="shared" si="17"/>
        <v>2.1122390963146183</v>
      </c>
      <c r="E293" s="4">
        <f t="shared" si="18"/>
        <v>78.621521807370769</v>
      </c>
      <c r="F293" s="4">
        <f t="shared" si="19"/>
        <v>87.070478192629238</v>
      </c>
    </row>
    <row r="294" spans="1:6" x14ac:dyDescent="0.35">
      <c r="A294" s="1">
        <v>45260</v>
      </c>
      <c r="B294" s="2">
        <v>75.81</v>
      </c>
      <c r="C294" s="4">
        <f t="shared" si="16"/>
        <v>82.584000000000003</v>
      </c>
      <c r="D294" s="4">
        <f t="shared" si="17"/>
        <v>2.5897671710020562</v>
      </c>
      <c r="E294" s="4">
        <f t="shared" si="18"/>
        <v>77.404465657995885</v>
      </c>
      <c r="F294" s="4">
        <f t="shared" si="19"/>
        <v>87.763534342004121</v>
      </c>
    </row>
    <row r="295" spans="1:6" x14ac:dyDescent="0.35">
      <c r="A295" s="1">
        <v>45259</v>
      </c>
      <c r="B295" s="2">
        <v>77.2</v>
      </c>
      <c r="C295" s="4">
        <f t="shared" si="16"/>
        <v>82.347999999999999</v>
      </c>
      <c r="D295" s="4">
        <f t="shared" si="17"/>
        <v>2.8422747931894254</v>
      </c>
      <c r="E295" s="4">
        <f t="shared" si="18"/>
        <v>76.663450413621149</v>
      </c>
      <c r="F295" s="4">
        <f t="shared" si="19"/>
        <v>88.032549586378849</v>
      </c>
    </row>
    <row r="296" spans="1:6" x14ac:dyDescent="0.35">
      <c r="A296" s="1">
        <v>45258</v>
      </c>
      <c r="B296" s="2">
        <v>75.27</v>
      </c>
      <c r="C296" s="4">
        <f t="shared" si="16"/>
        <v>81.99199999999999</v>
      </c>
      <c r="D296" s="4">
        <f t="shared" si="17"/>
        <v>3.2336675772255865</v>
      </c>
      <c r="E296" s="4">
        <f t="shared" si="18"/>
        <v>75.524664845548813</v>
      </c>
      <c r="F296" s="4">
        <f t="shared" si="19"/>
        <v>88.459335154451168</v>
      </c>
    </row>
    <row r="297" spans="1:6" x14ac:dyDescent="0.35">
      <c r="A297" s="1">
        <v>45257</v>
      </c>
      <c r="B297" s="2">
        <v>73.95</v>
      </c>
      <c r="C297" s="4">
        <f t="shared" si="16"/>
        <v>81.560000000000016</v>
      </c>
      <c r="D297" s="4">
        <f t="shared" si="17"/>
        <v>3.6723003689785494</v>
      </c>
      <c r="E297" s="4">
        <f t="shared" si="18"/>
        <v>74.215399262042922</v>
      </c>
      <c r="F297" s="4">
        <f t="shared" si="19"/>
        <v>88.904600737957111</v>
      </c>
    </row>
    <row r="298" spans="1:6" x14ac:dyDescent="0.35">
      <c r="A298" s="1">
        <v>45254</v>
      </c>
      <c r="B298" s="2">
        <v>71.819999999999993</v>
      </c>
      <c r="C298" s="4">
        <f t="shared" si="16"/>
        <v>80.903499999999994</v>
      </c>
      <c r="D298" s="4">
        <f t="shared" si="17"/>
        <v>4.1501292449753899</v>
      </c>
      <c r="E298" s="4">
        <f t="shared" si="18"/>
        <v>72.603241510049216</v>
      </c>
      <c r="F298" s="4">
        <f t="shared" si="19"/>
        <v>89.203758489950772</v>
      </c>
    </row>
    <row r="299" spans="1:6" x14ac:dyDescent="0.35">
      <c r="A299" s="1">
        <v>45252</v>
      </c>
      <c r="B299" s="2">
        <v>71.48</v>
      </c>
      <c r="C299" s="4">
        <f t="shared" si="16"/>
        <v>80.215499999999992</v>
      </c>
      <c r="D299" s="4">
        <f t="shared" si="17"/>
        <v>4.5000094166568134</v>
      </c>
      <c r="E299" s="4">
        <f t="shared" si="18"/>
        <v>71.215481166686359</v>
      </c>
      <c r="F299" s="4">
        <f t="shared" si="19"/>
        <v>89.215518833313624</v>
      </c>
    </row>
    <row r="300" spans="1:6" x14ac:dyDescent="0.35">
      <c r="A300" s="1">
        <v>45251</v>
      </c>
      <c r="B300" s="2">
        <v>70.59</v>
      </c>
      <c r="C300" s="4">
        <f t="shared" si="16"/>
        <v>79.5655</v>
      </c>
      <c r="D300" s="4">
        <f t="shared" si="17"/>
        <v>4.8878149259152588</v>
      </c>
      <c r="E300" s="4">
        <f t="shared" si="18"/>
        <v>69.789870148169484</v>
      </c>
      <c r="F300" s="4">
        <f t="shared" si="19"/>
        <v>89.341129851830516</v>
      </c>
    </row>
    <row r="301" spans="1:6" x14ac:dyDescent="0.35">
      <c r="A301" s="1">
        <v>45250</v>
      </c>
      <c r="B301" s="2">
        <v>72.069999999999993</v>
      </c>
      <c r="C301" s="4">
        <f t="shared" si="16"/>
        <v>78.817499999999995</v>
      </c>
      <c r="D301" s="4">
        <f t="shared" si="17"/>
        <v>4.832640970525329</v>
      </c>
      <c r="E301" s="4">
        <f t="shared" si="18"/>
        <v>69.15221805894933</v>
      </c>
      <c r="F301" s="4">
        <f t="shared" si="19"/>
        <v>88.482781941050661</v>
      </c>
    </row>
    <row r="302" spans="1:6" x14ac:dyDescent="0.35">
      <c r="A302" s="1">
        <v>45247</v>
      </c>
      <c r="B302" s="2">
        <v>72.53</v>
      </c>
      <c r="C302" s="4">
        <f t="shared" si="16"/>
        <v>78.220999999999989</v>
      </c>
      <c r="D302" s="4">
        <f t="shared" si="17"/>
        <v>4.8356332573924581</v>
      </c>
      <c r="E302" s="4">
        <f t="shared" si="18"/>
        <v>68.549733485215071</v>
      </c>
      <c r="F302" s="4">
        <f t="shared" si="19"/>
        <v>87.892266514784907</v>
      </c>
    </row>
    <row r="303" spans="1:6" x14ac:dyDescent="0.35">
      <c r="A303" s="1">
        <v>45246</v>
      </c>
      <c r="B303" s="2">
        <v>70.150000000000006</v>
      </c>
      <c r="C303" s="4">
        <f t="shared" si="16"/>
        <v>77.694499999999991</v>
      </c>
      <c r="D303" s="4">
        <f t="shared" si="17"/>
        <v>5.1049843045792009</v>
      </c>
      <c r="E303" s="4">
        <f t="shared" si="18"/>
        <v>67.484531390841596</v>
      </c>
      <c r="F303" s="4">
        <f t="shared" si="19"/>
        <v>87.904468609158386</v>
      </c>
    </row>
    <row r="304" spans="1:6" x14ac:dyDescent="0.35">
      <c r="A304" s="1">
        <v>45245</v>
      </c>
      <c r="B304" s="2">
        <v>71.739999999999995</v>
      </c>
      <c r="C304" s="4">
        <f t="shared" si="16"/>
        <v>77.118499999999997</v>
      </c>
      <c r="D304" s="4">
        <f t="shared" si="17"/>
        <v>5.0944236916456012</v>
      </c>
      <c r="E304" s="4">
        <f t="shared" si="18"/>
        <v>66.929652616708793</v>
      </c>
      <c r="F304" s="4">
        <f t="shared" si="19"/>
        <v>87.307347383291201</v>
      </c>
    </row>
    <row r="305" spans="1:6" x14ac:dyDescent="0.35">
      <c r="A305" s="1">
        <v>45244</v>
      </c>
      <c r="B305" s="2">
        <v>68.38</v>
      </c>
      <c r="C305" s="4">
        <f t="shared" si="16"/>
        <v>76.338999999999984</v>
      </c>
      <c r="D305" s="4">
        <f t="shared" si="17"/>
        <v>5.1784600992959273</v>
      </c>
      <c r="E305" s="4">
        <f t="shared" si="18"/>
        <v>65.982079801408133</v>
      </c>
      <c r="F305" s="4">
        <f t="shared" si="19"/>
        <v>86.695920198591836</v>
      </c>
    </row>
    <row r="306" spans="1:6" x14ac:dyDescent="0.35">
      <c r="A306" s="1">
        <v>45243</v>
      </c>
      <c r="B306" s="2">
        <v>63.21</v>
      </c>
      <c r="C306" s="4">
        <f t="shared" si="16"/>
        <v>75.208500000000001</v>
      </c>
      <c r="D306" s="4">
        <f t="shared" si="17"/>
        <v>5.4463274552674479</v>
      </c>
      <c r="E306" s="4">
        <f t="shared" si="18"/>
        <v>64.3158450894651</v>
      </c>
      <c r="F306" s="4">
        <f t="shared" si="19"/>
        <v>86.101154910534902</v>
      </c>
    </row>
    <row r="307" spans="1:6" x14ac:dyDescent="0.35">
      <c r="A307" s="1">
        <v>45240</v>
      </c>
      <c r="B307" s="2">
        <v>63.24</v>
      </c>
      <c r="C307" s="4">
        <f t="shared" si="16"/>
        <v>74.136000000000024</v>
      </c>
      <c r="D307" s="4">
        <f t="shared" si="17"/>
        <v>5.5838637161019617</v>
      </c>
      <c r="E307" s="4">
        <f t="shared" si="18"/>
        <v>62.968272567796099</v>
      </c>
      <c r="F307" s="4">
        <f t="shared" si="19"/>
        <v>85.303727432203942</v>
      </c>
    </row>
    <row r="308" spans="1:6" x14ac:dyDescent="0.35">
      <c r="A308" s="1">
        <v>45239</v>
      </c>
      <c r="B308" s="2">
        <v>62.02</v>
      </c>
      <c r="C308" s="4">
        <f t="shared" si="16"/>
        <v>73.233000000000004</v>
      </c>
      <c r="D308" s="4">
        <f t="shared" si="17"/>
        <v>5.9947844831987069</v>
      </c>
      <c r="E308" s="4">
        <f t="shared" si="18"/>
        <v>61.24343103360259</v>
      </c>
      <c r="F308" s="4">
        <f t="shared" si="19"/>
        <v>85.222568966397418</v>
      </c>
    </row>
    <row r="309" spans="1:6" x14ac:dyDescent="0.35">
      <c r="A309" s="1">
        <v>45238</v>
      </c>
      <c r="B309" s="2">
        <v>63.99</v>
      </c>
      <c r="C309" s="4">
        <f t="shared" si="16"/>
        <v>72.484000000000009</v>
      </c>
      <c r="D309" s="4">
        <f t="shared" si="17"/>
        <v>6.1646114232772211</v>
      </c>
      <c r="E309" s="4">
        <f t="shared" si="18"/>
        <v>60.154777153445565</v>
      </c>
      <c r="F309" s="4">
        <f t="shared" si="19"/>
        <v>84.813222846554453</v>
      </c>
    </row>
    <row r="310" spans="1:6" x14ac:dyDescent="0.35">
      <c r="A310" s="1">
        <v>45237</v>
      </c>
      <c r="B310" s="2">
        <v>64.84</v>
      </c>
      <c r="C310" s="4">
        <f t="shared" si="16"/>
        <v>71.748999999999995</v>
      </c>
      <c r="D310" s="4">
        <f t="shared" si="17"/>
        <v>6.1558418595672189</v>
      </c>
      <c r="E310" s="4">
        <f t="shared" si="18"/>
        <v>59.437316280865559</v>
      </c>
      <c r="F310" s="4">
        <f t="shared" si="19"/>
        <v>84.060683719134431</v>
      </c>
    </row>
    <row r="311" spans="1:6" x14ac:dyDescent="0.35">
      <c r="A311" s="1">
        <v>45236</v>
      </c>
      <c r="B311" s="2">
        <v>63.08</v>
      </c>
      <c r="C311" s="4">
        <f t="shared" si="16"/>
        <v>70.819999999999993</v>
      </c>
      <c r="D311" s="4">
        <f t="shared" si="17"/>
        <v>5.9897854719513948</v>
      </c>
      <c r="E311" s="4">
        <f t="shared" si="18"/>
        <v>58.840429056097207</v>
      </c>
      <c r="F311" s="4">
        <f t="shared" si="19"/>
        <v>82.799570943902779</v>
      </c>
    </row>
    <row r="312" spans="1:6" x14ac:dyDescent="0.35">
      <c r="A312" s="1">
        <v>45233</v>
      </c>
      <c r="B312" s="2">
        <v>65.25</v>
      </c>
      <c r="C312" s="4">
        <f t="shared" si="16"/>
        <v>69.932999999999993</v>
      </c>
      <c r="D312" s="4">
        <f t="shared" si="17"/>
        <v>5.4070843344634456</v>
      </c>
      <c r="E312" s="4">
        <f t="shared" si="18"/>
        <v>59.118831331073103</v>
      </c>
      <c r="F312" s="4">
        <f t="shared" si="19"/>
        <v>80.747168668926889</v>
      </c>
    </row>
    <row r="313" spans="1:6" x14ac:dyDescent="0.35">
      <c r="A313" s="1">
        <v>45232</v>
      </c>
      <c r="B313" s="2">
        <v>61.63</v>
      </c>
      <c r="C313" s="4">
        <f t="shared" si="16"/>
        <v>68.912499999999994</v>
      </c>
      <c r="D313" s="4">
        <f t="shared" si="17"/>
        <v>4.9308375302781977</v>
      </c>
      <c r="E313" s="4">
        <f t="shared" si="18"/>
        <v>59.050824939443601</v>
      </c>
      <c r="F313" s="4">
        <f t="shared" si="19"/>
        <v>78.774175060556388</v>
      </c>
    </row>
    <row r="314" spans="1:6" x14ac:dyDescent="0.35">
      <c r="A314" s="1">
        <v>45231</v>
      </c>
      <c r="B314" s="2">
        <v>60.66</v>
      </c>
      <c r="C314" s="4">
        <f t="shared" si="16"/>
        <v>68.155000000000001</v>
      </c>
      <c r="D314" s="4">
        <f t="shared" si="17"/>
        <v>4.9765213754187769</v>
      </c>
      <c r="E314" s="4">
        <f t="shared" si="18"/>
        <v>58.201957249162447</v>
      </c>
      <c r="F314" s="4">
        <f t="shared" si="19"/>
        <v>78.108042750837555</v>
      </c>
    </row>
    <row r="315" spans="1:6" x14ac:dyDescent="0.35">
      <c r="A315" s="1">
        <v>45230</v>
      </c>
      <c r="B315" s="2">
        <v>62.3</v>
      </c>
      <c r="C315" s="4">
        <f t="shared" si="16"/>
        <v>67.41</v>
      </c>
      <c r="D315" s="4">
        <f t="shared" si="17"/>
        <v>4.6727069242570733</v>
      </c>
      <c r="E315" s="4">
        <f t="shared" si="18"/>
        <v>58.064586151485848</v>
      </c>
      <c r="F315" s="4">
        <f t="shared" si="19"/>
        <v>76.755413848514138</v>
      </c>
    </row>
    <row r="316" spans="1:6" x14ac:dyDescent="0.35">
      <c r="A316" s="1">
        <v>45229</v>
      </c>
      <c r="B316" s="2">
        <v>61.31</v>
      </c>
      <c r="C316" s="4">
        <f t="shared" si="16"/>
        <v>66.712000000000018</v>
      </c>
      <c r="D316" s="4">
        <f t="shared" si="17"/>
        <v>4.4853657598907137</v>
      </c>
      <c r="E316" s="4">
        <f t="shared" si="18"/>
        <v>57.741268480218594</v>
      </c>
      <c r="F316" s="4">
        <f t="shared" si="19"/>
        <v>75.682731519781441</v>
      </c>
    </row>
    <row r="317" spans="1:6" x14ac:dyDescent="0.35">
      <c r="A317" s="1">
        <v>45226</v>
      </c>
      <c r="B317" s="2">
        <v>62.46</v>
      </c>
      <c r="C317" s="4">
        <f t="shared" si="16"/>
        <v>66.137500000000017</v>
      </c>
      <c r="D317" s="4">
        <f t="shared" si="17"/>
        <v>4.2512349676299932</v>
      </c>
      <c r="E317" s="4">
        <f t="shared" si="18"/>
        <v>57.635030064740029</v>
      </c>
      <c r="F317" s="4">
        <f t="shared" si="19"/>
        <v>74.639969935259998</v>
      </c>
    </row>
    <row r="318" spans="1:6" x14ac:dyDescent="0.35">
      <c r="A318" s="1">
        <v>45225</v>
      </c>
      <c r="B318" s="2">
        <v>62.37</v>
      </c>
      <c r="C318" s="4">
        <f t="shared" si="16"/>
        <v>65.664999999999992</v>
      </c>
      <c r="D318" s="4">
        <f t="shared" si="17"/>
        <v>4.1164189534108395</v>
      </c>
      <c r="E318" s="4">
        <f t="shared" si="18"/>
        <v>57.432162093178313</v>
      </c>
      <c r="F318" s="4">
        <f t="shared" si="19"/>
        <v>73.897837906821678</v>
      </c>
    </row>
    <row r="319" spans="1:6" x14ac:dyDescent="0.35">
      <c r="A319" s="1">
        <v>45224</v>
      </c>
      <c r="B319" s="2">
        <v>62.96</v>
      </c>
      <c r="C319" s="4">
        <f t="shared" si="16"/>
        <v>65.239000000000004</v>
      </c>
      <c r="D319" s="4">
        <f t="shared" si="17"/>
        <v>3.9291944467027839</v>
      </c>
      <c r="E319" s="4">
        <f t="shared" si="18"/>
        <v>57.380611106594436</v>
      </c>
      <c r="F319" s="4">
        <f t="shared" si="19"/>
        <v>73.097388893405565</v>
      </c>
    </row>
    <row r="320" spans="1:6" x14ac:dyDescent="0.35">
      <c r="A320" s="1">
        <v>45223</v>
      </c>
      <c r="B320" s="2">
        <v>64.59</v>
      </c>
      <c r="C320" s="4">
        <f t="shared" si="16"/>
        <v>64.938999999999993</v>
      </c>
      <c r="D320" s="4">
        <f t="shared" si="17"/>
        <v>3.7333589433645402</v>
      </c>
      <c r="E320" s="4">
        <f t="shared" si="18"/>
        <v>57.472282113270914</v>
      </c>
      <c r="F320" s="4">
        <f t="shared" si="19"/>
        <v>72.405717886729079</v>
      </c>
    </row>
    <row r="321" spans="1:6" x14ac:dyDescent="0.35">
      <c r="A321" s="1">
        <v>45222</v>
      </c>
      <c r="B321" s="2">
        <v>64.150000000000006</v>
      </c>
      <c r="C321" s="4">
        <f t="shared" si="16"/>
        <v>64.542999999999992</v>
      </c>
      <c r="D321" s="4">
        <f t="shared" si="17"/>
        <v>3.3570405121177789</v>
      </c>
      <c r="E321" s="4">
        <f t="shared" si="18"/>
        <v>57.828918975764438</v>
      </c>
      <c r="F321" s="4">
        <f t="shared" si="19"/>
        <v>71.257081024235546</v>
      </c>
    </row>
    <row r="322" spans="1:6" x14ac:dyDescent="0.35">
      <c r="A322" s="1">
        <v>45219</v>
      </c>
      <c r="B322" s="2">
        <v>64.900000000000006</v>
      </c>
      <c r="C322" s="4">
        <f t="shared" si="16"/>
        <v>64.161500000000004</v>
      </c>
      <c r="D322" s="4">
        <f t="shared" si="17"/>
        <v>2.8179678404836346</v>
      </c>
      <c r="E322" s="4">
        <f t="shared" si="18"/>
        <v>58.525564319032732</v>
      </c>
      <c r="F322" s="4">
        <f t="shared" si="19"/>
        <v>69.797435680967268</v>
      </c>
    </row>
    <row r="323" spans="1:6" x14ac:dyDescent="0.35">
      <c r="A323" s="1">
        <v>45218</v>
      </c>
      <c r="B323" s="2">
        <v>65.42</v>
      </c>
      <c r="C323" s="4">
        <f t="shared" si="16"/>
        <v>63.925000000000011</v>
      </c>
      <c r="D323" s="4">
        <f t="shared" si="17"/>
        <v>2.4841688750968594</v>
      </c>
      <c r="E323" s="4">
        <f t="shared" si="18"/>
        <v>58.956662249806293</v>
      </c>
      <c r="F323" s="4">
        <f t="shared" si="19"/>
        <v>68.893337750193723</v>
      </c>
    </row>
    <row r="324" spans="1:6" x14ac:dyDescent="0.35">
      <c r="A324" s="1">
        <v>45217</v>
      </c>
      <c r="B324" s="2">
        <v>67.900000000000006</v>
      </c>
      <c r="C324" s="4">
        <f t="shared" si="16"/>
        <v>63.733000000000018</v>
      </c>
      <c r="D324" s="4">
        <f t="shared" si="17"/>
        <v>1.967371596826589</v>
      </c>
      <c r="E324" s="4">
        <f t="shared" si="18"/>
        <v>59.798256806346842</v>
      </c>
      <c r="F324" s="4">
        <f t="shared" si="19"/>
        <v>67.667743193653195</v>
      </c>
    </row>
    <row r="325" spans="1:6" x14ac:dyDescent="0.35">
      <c r="A325" s="1">
        <v>45216</v>
      </c>
      <c r="B325" s="2">
        <v>70.06</v>
      </c>
      <c r="C325" s="4">
        <f t="shared" si="16"/>
        <v>63.817000000000007</v>
      </c>
      <c r="D325" s="4">
        <f t="shared" si="17"/>
        <v>2.1875353711426029</v>
      </c>
      <c r="E325" s="4">
        <f t="shared" si="18"/>
        <v>59.441929257714804</v>
      </c>
      <c r="F325" s="4">
        <f t="shared" si="19"/>
        <v>68.19207074228521</v>
      </c>
    </row>
    <row r="326" spans="1:6" x14ac:dyDescent="0.35">
      <c r="A326" s="1">
        <v>45215</v>
      </c>
      <c r="B326" s="2">
        <v>66.47</v>
      </c>
      <c r="C326" s="4">
        <f t="shared" si="16"/>
        <v>63.980000000000004</v>
      </c>
      <c r="D326" s="4">
        <f t="shared" si="17"/>
        <v>2.2565992112025577</v>
      </c>
      <c r="E326" s="4">
        <f t="shared" si="18"/>
        <v>59.466801577594886</v>
      </c>
      <c r="F326" s="4">
        <f t="shared" si="19"/>
        <v>68.493198422405115</v>
      </c>
    </row>
    <row r="327" spans="1:6" x14ac:dyDescent="0.35">
      <c r="A327" s="1">
        <v>45212</v>
      </c>
      <c r="B327" s="2">
        <v>63.17</v>
      </c>
      <c r="C327" s="4">
        <f t="shared" si="16"/>
        <v>63.976500000000009</v>
      </c>
      <c r="D327" s="4">
        <f t="shared" si="17"/>
        <v>2.2577982084322783</v>
      </c>
      <c r="E327" s="4">
        <f t="shared" si="18"/>
        <v>59.460903583135455</v>
      </c>
      <c r="F327" s="4">
        <f t="shared" si="19"/>
        <v>68.49209641686457</v>
      </c>
    </row>
    <row r="328" spans="1:6" x14ac:dyDescent="0.35">
      <c r="A328" s="1">
        <v>45211</v>
      </c>
      <c r="B328" s="2">
        <v>64.760000000000005</v>
      </c>
      <c r="C328" s="4">
        <f t="shared" si="16"/>
        <v>64.113500000000016</v>
      </c>
      <c r="D328" s="4">
        <f t="shared" si="17"/>
        <v>2.2176976236628847</v>
      </c>
      <c r="E328" s="4">
        <f t="shared" si="18"/>
        <v>59.678104752674244</v>
      </c>
      <c r="F328" s="4">
        <f t="shared" si="19"/>
        <v>68.548895247325788</v>
      </c>
    </row>
    <row r="329" spans="1:6" x14ac:dyDescent="0.35">
      <c r="A329" s="1">
        <v>45210</v>
      </c>
      <c r="B329" s="2">
        <v>64.84</v>
      </c>
      <c r="C329" s="4">
        <f t="shared" si="16"/>
        <v>64.155999999999992</v>
      </c>
      <c r="D329" s="4">
        <f t="shared" si="17"/>
        <v>2.2230618524908401</v>
      </c>
      <c r="E329" s="4">
        <f t="shared" si="18"/>
        <v>59.709876295018312</v>
      </c>
      <c r="F329" s="4">
        <f t="shared" si="19"/>
        <v>68.602123704981665</v>
      </c>
    </row>
    <row r="330" spans="1:6" x14ac:dyDescent="0.35">
      <c r="A330" s="1">
        <v>45209</v>
      </c>
      <c r="B330" s="2">
        <v>63.71</v>
      </c>
      <c r="C330" s="4">
        <f t="shared" si="16"/>
        <v>64.099500000000006</v>
      </c>
      <c r="D330" s="4">
        <f t="shared" si="17"/>
        <v>2.2193162798483694</v>
      </c>
      <c r="E330" s="4">
        <f t="shared" si="18"/>
        <v>59.660867440303264</v>
      </c>
      <c r="F330" s="4">
        <f t="shared" si="19"/>
        <v>68.538132559696749</v>
      </c>
    </row>
    <row r="331" spans="1:6" x14ac:dyDescent="0.35">
      <c r="A331" s="1">
        <v>45208</v>
      </c>
      <c r="B331" s="2">
        <v>63.38</v>
      </c>
      <c r="C331" s="4">
        <f t="shared" si="16"/>
        <v>64.114499999999992</v>
      </c>
      <c r="D331" s="4">
        <f t="shared" si="17"/>
        <v>2.2133808416086023</v>
      </c>
      <c r="E331" s="4">
        <f t="shared" si="18"/>
        <v>59.687738316782784</v>
      </c>
      <c r="F331" s="4">
        <f t="shared" si="19"/>
        <v>68.541261683217201</v>
      </c>
    </row>
    <row r="332" spans="1:6" x14ac:dyDescent="0.35">
      <c r="A332" s="1">
        <v>45205</v>
      </c>
      <c r="B332" s="2">
        <v>62.72</v>
      </c>
      <c r="C332" s="4">
        <f t="shared" si="16"/>
        <v>63.988</v>
      </c>
      <c r="D332" s="4">
        <f t="shared" si="17"/>
        <v>2.2171639542442518</v>
      </c>
      <c r="E332" s="4">
        <f t="shared" si="18"/>
        <v>59.553672091511494</v>
      </c>
      <c r="F332" s="4">
        <f t="shared" si="19"/>
        <v>68.422327908488498</v>
      </c>
    </row>
    <row r="333" spans="1:6" x14ac:dyDescent="0.35">
      <c r="A333" s="1">
        <v>45204</v>
      </c>
      <c r="B333" s="2">
        <v>62.86</v>
      </c>
      <c r="C333" s="4">
        <f t="shared" si="16"/>
        <v>64.049499999999995</v>
      </c>
      <c r="D333" s="4">
        <f t="shared" si="17"/>
        <v>2.1674050728924685</v>
      </c>
      <c r="E333" s="4">
        <f t="shared" si="18"/>
        <v>59.714689854215059</v>
      </c>
      <c r="F333" s="4">
        <f t="shared" si="19"/>
        <v>68.384310145784937</v>
      </c>
    </row>
    <row r="334" spans="1:6" x14ac:dyDescent="0.35">
      <c r="A334" s="1">
        <v>45203</v>
      </c>
      <c r="B334" s="2">
        <v>63.74</v>
      </c>
      <c r="C334" s="4">
        <f t="shared" si="16"/>
        <v>64.203499999999991</v>
      </c>
      <c r="D334" s="4">
        <f t="shared" si="17"/>
        <v>2.0259029468363003</v>
      </c>
      <c r="E334" s="4">
        <f t="shared" si="18"/>
        <v>60.15169410632739</v>
      </c>
      <c r="F334" s="4">
        <f t="shared" si="19"/>
        <v>68.255305893672585</v>
      </c>
    </row>
    <row r="335" spans="1:6" x14ac:dyDescent="0.35">
      <c r="A335" s="1">
        <v>45202</v>
      </c>
      <c r="B335" s="2">
        <v>62.29</v>
      </c>
      <c r="C335" s="4">
        <f t="shared" si="16"/>
        <v>64.203000000000003</v>
      </c>
      <c r="D335" s="4">
        <f t="shared" si="17"/>
        <v>2.0263738549438512</v>
      </c>
      <c r="E335" s="4">
        <f t="shared" si="18"/>
        <v>60.150252290112299</v>
      </c>
      <c r="F335" s="4">
        <f t="shared" si="19"/>
        <v>68.2557477098877</v>
      </c>
    </row>
    <row r="336" spans="1:6" x14ac:dyDescent="0.35">
      <c r="A336" s="1">
        <v>45201</v>
      </c>
      <c r="B336" s="2">
        <v>64.650000000000006</v>
      </c>
      <c r="C336" s="4">
        <f t="shared" si="16"/>
        <v>64.36999999999999</v>
      </c>
      <c r="D336" s="4">
        <f t="shared" si="17"/>
        <v>1.9156774258731568</v>
      </c>
      <c r="E336" s="4">
        <f t="shared" si="18"/>
        <v>60.538645148253678</v>
      </c>
      <c r="F336" s="4">
        <f t="shared" si="19"/>
        <v>68.201354851746302</v>
      </c>
    </row>
    <row r="337" spans="1:6" x14ac:dyDescent="0.35">
      <c r="A337" s="1">
        <v>45198</v>
      </c>
      <c r="B337" s="2">
        <v>64.58</v>
      </c>
      <c r="C337" s="4">
        <f t="shared" si="16"/>
        <v>64.476000000000013</v>
      </c>
      <c r="D337" s="4">
        <f t="shared" si="17"/>
        <v>1.865042626858701</v>
      </c>
      <c r="E337" s="4">
        <f t="shared" si="18"/>
        <v>60.745914746282608</v>
      </c>
      <c r="F337" s="4">
        <f t="shared" si="19"/>
        <v>68.206085253717418</v>
      </c>
    </row>
    <row r="338" spans="1:6" x14ac:dyDescent="0.35">
      <c r="A338" s="1">
        <v>45197</v>
      </c>
      <c r="B338" s="2">
        <v>63.75</v>
      </c>
      <c r="C338" s="4">
        <f t="shared" si="16"/>
        <v>64.545000000000002</v>
      </c>
      <c r="D338" s="4">
        <f t="shared" si="17"/>
        <v>1.8105841598776906</v>
      </c>
      <c r="E338" s="4">
        <f t="shared" si="18"/>
        <v>60.923831680244618</v>
      </c>
      <c r="F338" s="4">
        <f t="shared" si="19"/>
        <v>68.166168319755386</v>
      </c>
    </row>
    <row r="339" spans="1:6" x14ac:dyDescent="0.35">
      <c r="A339" s="1">
        <v>45196</v>
      </c>
      <c r="B339" s="2">
        <v>61.89</v>
      </c>
      <c r="C339" s="4">
        <f t="shared" si="16"/>
        <v>64.491500000000002</v>
      </c>
      <c r="D339" s="4">
        <f t="shared" si="17"/>
        <v>1.8714146387158574</v>
      </c>
      <c r="E339" s="4">
        <f t="shared" si="18"/>
        <v>60.748670722568285</v>
      </c>
      <c r="F339" s="4">
        <f t="shared" si="19"/>
        <v>68.234329277431712</v>
      </c>
    </row>
    <row r="340" spans="1:6" x14ac:dyDescent="0.35">
      <c r="A340" s="1">
        <v>45195</v>
      </c>
      <c r="B340" s="2">
        <v>61.87</v>
      </c>
      <c r="C340" s="4">
        <f t="shared" si="16"/>
        <v>64.355500000000006</v>
      </c>
      <c r="D340" s="4">
        <f t="shared" si="17"/>
        <v>1.9562271723907745</v>
      </c>
      <c r="E340" s="4">
        <f t="shared" si="18"/>
        <v>60.443045655218455</v>
      </c>
      <c r="F340" s="4">
        <f t="shared" si="19"/>
        <v>68.267954344781558</v>
      </c>
    </row>
    <row r="341" spans="1:6" x14ac:dyDescent="0.35">
      <c r="A341" s="1">
        <v>45194</v>
      </c>
      <c r="B341" s="2">
        <v>64.72</v>
      </c>
      <c r="C341" s="4">
        <f t="shared" si="16"/>
        <v>64.384</v>
      </c>
      <c r="D341" s="4">
        <f t="shared" si="17"/>
        <v>1.9571775596506322</v>
      </c>
      <c r="E341" s="4">
        <f t="shared" si="18"/>
        <v>60.469644880698738</v>
      </c>
      <c r="F341" s="4">
        <f t="shared" si="19"/>
        <v>68.298355119301263</v>
      </c>
    </row>
    <row r="342" spans="1:6" x14ac:dyDescent="0.35">
      <c r="A342" s="1">
        <v>45191</v>
      </c>
      <c r="B342" s="2">
        <v>63.8</v>
      </c>
      <c r="C342" s="4">
        <f t="shared" ref="C342:C405" si="20">AVERAGE(B323:B342)</f>
        <v>64.329000000000008</v>
      </c>
      <c r="D342" s="4">
        <f t="shared" ref="D342:D405" si="21">_xlfn.STDEV.P(B323:B342)</f>
        <v>1.95736021212244</v>
      </c>
      <c r="E342" s="4">
        <f t="shared" ref="E342:E405" si="22">C342-2*D342</f>
        <v>60.414279575755131</v>
      </c>
      <c r="F342" s="4">
        <f t="shared" ref="F342:F405" si="23">C342+2*D342</f>
        <v>68.243720424244884</v>
      </c>
    </row>
    <row r="343" spans="1:6" x14ac:dyDescent="0.35">
      <c r="A343" s="1">
        <v>45190</v>
      </c>
      <c r="B343" s="2">
        <v>64.25</v>
      </c>
      <c r="C343" s="4">
        <f t="shared" si="20"/>
        <v>64.270499999999998</v>
      </c>
      <c r="D343" s="4">
        <f t="shared" si="21"/>
        <v>1.9412971822984764</v>
      </c>
      <c r="E343" s="4">
        <f t="shared" si="22"/>
        <v>60.387905635403044</v>
      </c>
      <c r="F343" s="4">
        <f t="shared" si="23"/>
        <v>68.153094364596953</v>
      </c>
    </row>
    <row r="344" spans="1:6" x14ac:dyDescent="0.35">
      <c r="A344" s="1">
        <v>45189</v>
      </c>
      <c r="B344" s="2">
        <v>64.69</v>
      </c>
      <c r="C344" s="4">
        <f t="shared" si="20"/>
        <v>64.109999999999985</v>
      </c>
      <c r="D344" s="4">
        <f t="shared" si="21"/>
        <v>1.7586955393131587</v>
      </c>
      <c r="E344" s="4">
        <f t="shared" si="22"/>
        <v>60.592608921373667</v>
      </c>
      <c r="F344" s="4">
        <f t="shared" si="23"/>
        <v>67.627391078626303</v>
      </c>
    </row>
    <row r="345" spans="1:6" x14ac:dyDescent="0.35">
      <c r="A345" s="1">
        <v>45188</v>
      </c>
      <c r="B345" s="2">
        <v>65.739999999999995</v>
      </c>
      <c r="C345" s="4">
        <f t="shared" si="20"/>
        <v>63.894000000000005</v>
      </c>
      <c r="D345" s="4">
        <f t="shared" si="21"/>
        <v>1.1870442283251286</v>
      </c>
      <c r="E345" s="4">
        <f t="shared" si="22"/>
        <v>61.51991154334975</v>
      </c>
      <c r="F345" s="4">
        <f t="shared" si="23"/>
        <v>66.268088456650261</v>
      </c>
    </row>
    <row r="346" spans="1:6" x14ac:dyDescent="0.35">
      <c r="A346" s="1">
        <v>45187</v>
      </c>
      <c r="B346" s="2">
        <v>63.85</v>
      </c>
      <c r="C346" s="4">
        <f t="shared" si="20"/>
        <v>63.762999999999998</v>
      </c>
      <c r="D346" s="4">
        <f t="shared" si="21"/>
        <v>1.0296703355929024</v>
      </c>
      <c r="E346" s="4">
        <f t="shared" si="22"/>
        <v>61.70365932881419</v>
      </c>
      <c r="F346" s="4">
        <f t="shared" si="23"/>
        <v>65.822340671185799</v>
      </c>
    </row>
    <row r="347" spans="1:6" x14ac:dyDescent="0.35">
      <c r="A347" s="1">
        <v>45184</v>
      </c>
      <c r="B347" s="2">
        <v>64.94</v>
      </c>
      <c r="C347" s="4">
        <f t="shared" si="20"/>
        <v>63.851500000000009</v>
      </c>
      <c r="D347" s="4">
        <f t="shared" si="21"/>
        <v>1.0507486616693833</v>
      </c>
      <c r="E347" s="4">
        <f t="shared" si="22"/>
        <v>61.750002676661239</v>
      </c>
      <c r="F347" s="4">
        <f t="shared" si="23"/>
        <v>65.952997323338778</v>
      </c>
    </row>
    <row r="348" spans="1:6" x14ac:dyDescent="0.35">
      <c r="A348" s="1">
        <v>45183</v>
      </c>
      <c r="B348" s="2">
        <v>66.680000000000007</v>
      </c>
      <c r="C348" s="4">
        <f t="shared" si="20"/>
        <v>63.947500000000005</v>
      </c>
      <c r="D348" s="4">
        <f t="shared" si="21"/>
        <v>1.2056569785805586</v>
      </c>
      <c r="E348" s="4">
        <f t="shared" si="22"/>
        <v>61.536186042838885</v>
      </c>
      <c r="F348" s="4">
        <f t="shared" si="23"/>
        <v>66.358813957161118</v>
      </c>
    </row>
    <row r="349" spans="1:6" x14ac:dyDescent="0.35">
      <c r="A349" s="1">
        <v>45182</v>
      </c>
      <c r="B349" s="2">
        <v>64.56</v>
      </c>
      <c r="C349" s="4">
        <f t="shared" si="20"/>
        <v>63.933500000000002</v>
      </c>
      <c r="D349" s="4">
        <f t="shared" si="21"/>
        <v>1.1968052264257545</v>
      </c>
      <c r="E349" s="4">
        <f t="shared" si="22"/>
        <v>61.539889547148491</v>
      </c>
      <c r="F349" s="4">
        <f t="shared" si="23"/>
        <v>66.327110452851514</v>
      </c>
    </row>
    <row r="350" spans="1:6" x14ac:dyDescent="0.35">
      <c r="A350" s="1">
        <v>45181</v>
      </c>
      <c r="B350" s="2">
        <v>64.81</v>
      </c>
      <c r="C350" s="4">
        <f t="shared" si="20"/>
        <v>63.988500000000002</v>
      </c>
      <c r="D350" s="4">
        <f t="shared" si="21"/>
        <v>1.2104679880112492</v>
      </c>
      <c r="E350" s="4">
        <f t="shared" si="22"/>
        <v>61.567564023977503</v>
      </c>
      <c r="F350" s="4">
        <f t="shared" si="23"/>
        <v>66.409435976022507</v>
      </c>
    </row>
    <row r="351" spans="1:6" x14ac:dyDescent="0.35">
      <c r="A351" s="1">
        <v>45180</v>
      </c>
      <c r="B351" s="2">
        <v>64.819999999999993</v>
      </c>
      <c r="C351" s="4">
        <f t="shared" si="20"/>
        <v>64.06049999999999</v>
      </c>
      <c r="D351" s="4">
        <f t="shared" si="21"/>
        <v>1.214950513395505</v>
      </c>
      <c r="E351" s="4">
        <f t="shared" si="22"/>
        <v>61.630598973208983</v>
      </c>
      <c r="F351" s="4">
        <f t="shared" si="23"/>
        <v>66.490401026791005</v>
      </c>
    </row>
    <row r="352" spans="1:6" x14ac:dyDescent="0.35">
      <c r="A352" s="1">
        <v>45177</v>
      </c>
      <c r="B352" s="2">
        <v>67.13</v>
      </c>
      <c r="C352" s="4">
        <f t="shared" si="20"/>
        <v>64.280999999999992</v>
      </c>
      <c r="D352" s="4">
        <f t="shared" si="21"/>
        <v>1.3448899583237286</v>
      </c>
      <c r="E352" s="4">
        <f t="shared" si="22"/>
        <v>61.591220083352532</v>
      </c>
      <c r="F352" s="4">
        <f t="shared" si="23"/>
        <v>66.970779916647444</v>
      </c>
    </row>
    <row r="353" spans="1:6" x14ac:dyDescent="0.35">
      <c r="A353" s="1">
        <v>45176</v>
      </c>
      <c r="B353" s="2">
        <v>69.09</v>
      </c>
      <c r="C353" s="4">
        <f t="shared" si="20"/>
        <v>64.592499999999987</v>
      </c>
      <c r="D353" s="4">
        <f t="shared" si="21"/>
        <v>1.6634478500993055</v>
      </c>
      <c r="E353" s="4">
        <f t="shared" si="22"/>
        <v>61.265604299801375</v>
      </c>
      <c r="F353" s="4">
        <f t="shared" si="23"/>
        <v>67.919395700198592</v>
      </c>
    </row>
    <row r="354" spans="1:6" x14ac:dyDescent="0.35">
      <c r="A354" s="1">
        <v>45175</v>
      </c>
      <c r="B354" s="2">
        <v>72.739999999999995</v>
      </c>
      <c r="C354" s="4">
        <f t="shared" si="20"/>
        <v>65.04249999999999</v>
      </c>
      <c r="D354" s="4">
        <f t="shared" si="21"/>
        <v>2.4181209130231678</v>
      </c>
      <c r="E354" s="4">
        <f t="shared" si="22"/>
        <v>60.206258173953657</v>
      </c>
      <c r="F354" s="4">
        <f t="shared" si="23"/>
        <v>69.878741826046323</v>
      </c>
    </row>
    <row r="355" spans="1:6" x14ac:dyDescent="0.35">
      <c r="A355" s="1">
        <v>45174</v>
      </c>
      <c r="B355" s="2">
        <v>72.819999999999993</v>
      </c>
      <c r="C355" s="4">
        <f t="shared" si="20"/>
        <v>65.568999999999988</v>
      </c>
      <c r="D355" s="4">
        <f t="shared" si="21"/>
        <v>2.8663162770357347</v>
      </c>
      <c r="E355" s="4">
        <f t="shared" si="22"/>
        <v>59.836367445928516</v>
      </c>
      <c r="F355" s="4">
        <f t="shared" si="23"/>
        <v>71.30163255407146</v>
      </c>
    </row>
    <row r="356" spans="1:6" x14ac:dyDescent="0.35">
      <c r="A356" s="1">
        <v>45170</v>
      </c>
      <c r="B356" s="2">
        <v>74.635000000000005</v>
      </c>
      <c r="C356" s="4">
        <f t="shared" si="20"/>
        <v>66.068249999999992</v>
      </c>
      <c r="D356" s="4">
        <f t="shared" si="21"/>
        <v>3.4689923879276527</v>
      </c>
      <c r="E356" s="4">
        <f t="shared" si="22"/>
        <v>59.130265224144686</v>
      </c>
      <c r="F356" s="4">
        <f t="shared" si="23"/>
        <v>73.00623477585529</v>
      </c>
    </row>
    <row r="357" spans="1:6" x14ac:dyDescent="0.35">
      <c r="A357" s="1">
        <v>45169</v>
      </c>
      <c r="B357" s="2">
        <v>73.569999999999993</v>
      </c>
      <c r="C357" s="4">
        <f t="shared" si="20"/>
        <v>66.517749999999992</v>
      </c>
      <c r="D357" s="4">
        <f t="shared" si="21"/>
        <v>3.8124698277494597</v>
      </c>
      <c r="E357" s="4">
        <f t="shared" si="22"/>
        <v>58.892810344501072</v>
      </c>
      <c r="F357" s="4">
        <f t="shared" si="23"/>
        <v>74.142689655498913</v>
      </c>
    </row>
    <row r="358" spans="1:6" x14ac:dyDescent="0.35">
      <c r="A358" s="1">
        <v>45168</v>
      </c>
      <c r="B358" s="2">
        <v>74.319999999999993</v>
      </c>
      <c r="C358" s="4">
        <f t="shared" si="20"/>
        <v>67.046249999999986</v>
      </c>
      <c r="D358" s="4">
        <f t="shared" si="21"/>
        <v>4.1129487217202199</v>
      </c>
      <c r="E358" s="4">
        <f t="shared" si="22"/>
        <v>58.820352556559548</v>
      </c>
      <c r="F358" s="4">
        <f t="shared" si="23"/>
        <v>75.272147443440431</v>
      </c>
    </row>
    <row r="359" spans="1:6" x14ac:dyDescent="0.35">
      <c r="A359" s="1">
        <v>45167</v>
      </c>
      <c r="B359" s="2">
        <v>74.400000000000006</v>
      </c>
      <c r="C359" s="4">
        <f t="shared" si="20"/>
        <v>67.671749999999989</v>
      </c>
      <c r="D359" s="4">
        <f t="shared" si="21"/>
        <v>4.2307958101874874</v>
      </c>
      <c r="E359" s="4">
        <f t="shared" si="22"/>
        <v>59.210158379625014</v>
      </c>
      <c r="F359" s="4">
        <f t="shared" si="23"/>
        <v>76.133341620374964</v>
      </c>
    </row>
    <row r="360" spans="1:6" x14ac:dyDescent="0.35">
      <c r="A360" s="1">
        <v>45166</v>
      </c>
      <c r="B360" s="2">
        <v>72.239999999999995</v>
      </c>
      <c r="C360" s="4">
        <f t="shared" si="20"/>
        <v>68.190249999999992</v>
      </c>
      <c r="D360" s="4">
        <f t="shared" si="21"/>
        <v>4.1220409007553522</v>
      </c>
      <c r="E360" s="4">
        <f t="shared" si="22"/>
        <v>59.946168198489289</v>
      </c>
      <c r="F360" s="4">
        <f t="shared" si="23"/>
        <v>76.434331801510695</v>
      </c>
    </row>
    <row r="361" spans="1:6" x14ac:dyDescent="0.35">
      <c r="A361" s="1">
        <v>45163</v>
      </c>
      <c r="B361" s="2">
        <v>72.31</v>
      </c>
      <c r="C361" s="4">
        <f t="shared" si="20"/>
        <v>68.569749999999985</v>
      </c>
      <c r="D361" s="4">
        <f t="shared" si="21"/>
        <v>4.1344511349754747</v>
      </c>
      <c r="E361" s="4">
        <f t="shared" si="22"/>
        <v>60.300847730049036</v>
      </c>
      <c r="F361" s="4">
        <f t="shared" si="23"/>
        <v>76.838652269950927</v>
      </c>
    </row>
    <row r="362" spans="1:6" x14ac:dyDescent="0.35">
      <c r="A362" s="1">
        <v>45162</v>
      </c>
      <c r="B362" s="2">
        <v>71.62</v>
      </c>
      <c r="C362" s="4">
        <f t="shared" si="20"/>
        <v>68.96074999999999</v>
      </c>
      <c r="D362" s="4">
        <f t="shared" si="21"/>
        <v>4.0334204699609488</v>
      </c>
      <c r="E362" s="4">
        <f t="shared" si="22"/>
        <v>60.893909060078094</v>
      </c>
      <c r="F362" s="4">
        <f t="shared" si="23"/>
        <v>77.027590939921893</v>
      </c>
    </row>
    <row r="363" spans="1:6" x14ac:dyDescent="0.35">
      <c r="A363" s="1">
        <v>45161</v>
      </c>
      <c r="B363" s="2">
        <v>73.08</v>
      </c>
      <c r="C363" s="4">
        <f t="shared" si="20"/>
        <v>69.402250000000009</v>
      </c>
      <c r="D363" s="4">
        <f t="shared" si="21"/>
        <v>3.9764822629429646</v>
      </c>
      <c r="E363" s="4">
        <f t="shared" si="22"/>
        <v>61.449285474114077</v>
      </c>
      <c r="F363" s="4">
        <f t="shared" si="23"/>
        <v>77.355214525885941</v>
      </c>
    </row>
    <row r="364" spans="1:6" x14ac:dyDescent="0.35">
      <c r="A364" s="1">
        <v>45160</v>
      </c>
      <c r="B364" s="2">
        <v>73.48</v>
      </c>
      <c r="C364" s="4">
        <f t="shared" si="20"/>
        <v>69.841750000000005</v>
      </c>
      <c r="D364" s="4">
        <f t="shared" si="21"/>
        <v>3.9166807614994612</v>
      </c>
      <c r="E364" s="4">
        <f t="shared" si="22"/>
        <v>62.008388477001084</v>
      </c>
      <c r="F364" s="4">
        <f t="shared" si="23"/>
        <v>77.675111522998932</v>
      </c>
    </row>
    <row r="365" spans="1:6" x14ac:dyDescent="0.35">
      <c r="A365" s="1">
        <v>45159</v>
      </c>
      <c r="B365" s="2">
        <v>73.319999999999993</v>
      </c>
      <c r="C365" s="4">
        <f t="shared" si="20"/>
        <v>70.220749999999981</v>
      </c>
      <c r="D365" s="4">
        <f t="shared" si="21"/>
        <v>3.8678728892635541</v>
      </c>
      <c r="E365" s="4">
        <f t="shared" si="22"/>
        <v>62.48500422147287</v>
      </c>
      <c r="F365" s="4">
        <f t="shared" si="23"/>
        <v>77.956495778527085</v>
      </c>
    </row>
    <row r="366" spans="1:6" x14ac:dyDescent="0.35">
      <c r="A366" s="1">
        <v>45156</v>
      </c>
      <c r="B366" s="2">
        <v>73.78</v>
      </c>
      <c r="C366" s="4">
        <f t="shared" si="20"/>
        <v>70.717249999999993</v>
      </c>
      <c r="D366" s="4">
        <f t="shared" si="21"/>
        <v>3.6493860699438194</v>
      </c>
      <c r="E366" s="4">
        <f t="shared" si="22"/>
        <v>63.418477860112354</v>
      </c>
      <c r="F366" s="4">
        <f t="shared" si="23"/>
        <v>78.016022139887639</v>
      </c>
    </row>
    <row r="367" spans="1:6" x14ac:dyDescent="0.35">
      <c r="A367" s="1">
        <v>45155</v>
      </c>
      <c r="B367" s="2">
        <v>74.97</v>
      </c>
      <c r="C367" s="4">
        <f t="shared" si="20"/>
        <v>71.218749999999986</v>
      </c>
      <c r="D367" s="4">
        <f t="shared" si="21"/>
        <v>3.507417809086907</v>
      </c>
      <c r="E367" s="4">
        <f t="shared" si="22"/>
        <v>64.203914381826166</v>
      </c>
      <c r="F367" s="4">
        <f t="shared" si="23"/>
        <v>78.233585618173805</v>
      </c>
    </row>
    <row r="368" spans="1:6" x14ac:dyDescent="0.35">
      <c r="A368" s="1">
        <v>45154</v>
      </c>
      <c r="B368" s="2">
        <v>73.95</v>
      </c>
      <c r="C368" s="4">
        <f t="shared" si="20"/>
        <v>71.582250000000002</v>
      </c>
      <c r="D368" s="4">
        <f t="shared" si="21"/>
        <v>3.3930548459316126</v>
      </c>
      <c r="E368" s="4">
        <f t="shared" si="22"/>
        <v>64.796140308136771</v>
      </c>
      <c r="F368" s="4">
        <f t="shared" si="23"/>
        <v>78.368359691863233</v>
      </c>
    </row>
    <row r="369" spans="1:6" x14ac:dyDescent="0.35">
      <c r="A369" s="1">
        <v>45153</v>
      </c>
      <c r="B369" s="2">
        <v>75.86</v>
      </c>
      <c r="C369" s="4">
        <f t="shared" si="20"/>
        <v>72.14725</v>
      </c>
      <c r="D369" s="4">
        <f t="shared" si="21"/>
        <v>3.1053105621660455</v>
      </c>
      <c r="E369" s="4">
        <f t="shared" si="22"/>
        <v>65.936628875667907</v>
      </c>
      <c r="F369" s="4">
        <f t="shared" si="23"/>
        <v>78.357871124332092</v>
      </c>
    </row>
    <row r="370" spans="1:6" x14ac:dyDescent="0.35">
      <c r="A370" s="1">
        <v>45152</v>
      </c>
      <c r="B370" s="2">
        <v>79.3</v>
      </c>
      <c r="C370" s="4">
        <f t="shared" si="20"/>
        <v>72.871749999999992</v>
      </c>
      <c r="D370" s="4">
        <f t="shared" si="21"/>
        <v>2.9973960678395515</v>
      </c>
      <c r="E370" s="4">
        <f t="shared" si="22"/>
        <v>66.876957864320886</v>
      </c>
      <c r="F370" s="4">
        <f t="shared" si="23"/>
        <v>78.866542135679097</v>
      </c>
    </row>
    <row r="371" spans="1:6" x14ac:dyDescent="0.35">
      <c r="A371" s="1">
        <v>45149</v>
      </c>
      <c r="B371" s="2">
        <v>76.64</v>
      </c>
      <c r="C371" s="4">
        <f t="shared" si="20"/>
        <v>73.46275</v>
      </c>
      <c r="D371" s="4">
        <f t="shared" si="21"/>
        <v>2.4705371253029171</v>
      </c>
      <c r="E371" s="4">
        <f t="shared" si="22"/>
        <v>68.521675749394163</v>
      </c>
      <c r="F371" s="4">
        <f t="shared" si="23"/>
        <v>78.403824250605837</v>
      </c>
    </row>
    <row r="372" spans="1:6" x14ac:dyDescent="0.35">
      <c r="A372" s="1">
        <v>45148</v>
      </c>
      <c r="B372" s="2">
        <v>78.209999999999994</v>
      </c>
      <c r="C372" s="4">
        <f t="shared" si="20"/>
        <v>74.016750000000002</v>
      </c>
      <c r="D372" s="4">
        <f t="shared" si="21"/>
        <v>2.2177174498794918</v>
      </c>
      <c r="E372" s="4">
        <f t="shared" si="22"/>
        <v>69.581315100241014</v>
      </c>
      <c r="F372" s="4">
        <f t="shared" si="23"/>
        <v>78.45218489975899</v>
      </c>
    </row>
    <row r="373" spans="1:6" x14ac:dyDescent="0.35">
      <c r="A373" s="1">
        <v>45147</v>
      </c>
      <c r="B373" s="2">
        <v>79.87</v>
      </c>
      <c r="C373" s="4">
        <f t="shared" si="20"/>
        <v>74.555750000000018</v>
      </c>
      <c r="D373" s="4">
        <f t="shared" si="21"/>
        <v>2.2643173778205212</v>
      </c>
      <c r="E373" s="4">
        <f t="shared" si="22"/>
        <v>70.027115244358981</v>
      </c>
      <c r="F373" s="4">
        <f t="shared" si="23"/>
        <v>79.084384755641054</v>
      </c>
    </row>
    <row r="374" spans="1:6" x14ac:dyDescent="0.35">
      <c r="A374" s="1">
        <v>45146</v>
      </c>
      <c r="B374" s="2">
        <v>82.5</v>
      </c>
      <c r="C374" s="4">
        <f t="shared" si="20"/>
        <v>75.043750000000003</v>
      </c>
      <c r="D374" s="4">
        <f t="shared" si="21"/>
        <v>2.8070798327621538</v>
      </c>
      <c r="E374" s="4">
        <f t="shared" si="22"/>
        <v>69.429590334475691</v>
      </c>
      <c r="F374" s="4">
        <f t="shared" si="23"/>
        <v>80.657909665524315</v>
      </c>
    </row>
    <row r="375" spans="1:6" x14ac:dyDescent="0.35">
      <c r="A375" s="1">
        <v>45145</v>
      </c>
      <c r="B375" s="2">
        <v>84.43</v>
      </c>
      <c r="C375" s="4">
        <f t="shared" si="20"/>
        <v>75.624250000000018</v>
      </c>
      <c r="D375" s="4">
        <f t="shared" si="21"/>
        <v>3.4206064063993109</v>
      </c>
      <c r="E375" s="4">
        <f t="shared" si="22"/>
        <v>68.783037187201401</v>
      </c>
      <c r="F375" s="4">
        <f t="shared" si="23"/>
        <v>82.465462812798634</v>
      </c>
    </row>
    <row r="376" spans="1:6" x14ac:dyDescent="0.35">
      <c r="A376" s="1">
        <v>45142</v>
      </c>
      <c r="B376" s="2">
        <v>81.59</v>
      </c>
      <c r="C376" s="4">
        <f t="shared" si="20"/>
        <v>75.972000000000008</v>
      </c>
      <c r="D376" s="4">
        <f t="shared" si="21"/>
        <v>3.6483141312118406</v>
      </c>
      <c r="E376" s="4">
        <f t="shared" si="22"/>
        <v>68.675371737576327</v>
      </c>
      <c r="F376" s="4">
        <f t="shared" si="23"/>
        <v>83.26862826242369</v>
      </c>
    </row>
    <row r="377" spans="1:6" x14ac:dyDescent="0.35">
      <c r="A377" s="1">
        <v>45141</v>
      </c>
      <c r="B377" s="2">
        <v>82.92</v>
      </c>
      <c r="C377" s="4">
        <f t="shared" si="20"/>
        <v>76.439499999999995</v>
      </c>
      <c r="D377" s="4">
        <f t="shared" si="21"/>
        <v>3.9008838421568015</v>
      </c>
      <c r="E377" s="4">
        <f t="shared" si="22"/>
        <v>68.637732315686392</v>
      </c>
      <c r="F377" s="4">
        <f t="shared" si="23"/>
        <v>84.241267684313598</v>
      </c>
    </row>
    <row r="378" spans="1:6" x14ac:dyDescent="0.35">
      <c r="A378" s="1">
        <v>45140</v>
      </c>
      <c r="B378" s="2">
        <v>96.07</v>
      </c>
      <c r="C378" s="4">
        <f t="shared" si="20"/>
        <v>77.527000000000015</v>
      </c>
      <c r="D378" s="4">
        <f t="shared" si="21"/>
        <v>5.7512999400135616</v>
      </c>
      <c r="E378" s="4">
        <f t="shared" si="22"/>
        <v>66.024400119972896</v>
      </c>
      <c r="F378" s="4">
        <f t="shared" si="23"/>
        <v>89.029599880027135</v>
      </c>
    </row>
    <row r="379" spans="1:6" x14ac:dyDescent="0.35">
      <c r="A379" s="1">
        <v>45139</v>
      </c>
      <c r="B379" s="2">
        <v>98.6</v>
      </c>
      <c r="C379" s="4">
        <f t="shared" si="20"/>
        <v>78.736999999999995</v>
      </c>
      <c r="D379" s="4">
        <f t="shared" si="21"/>
        <v>7.302603029057515</v>
      </c>
      <c r="E379" s="4">
        <f t="shared" si="22"/>
        <v>64.131793941884965</v>
      </c>
      <c r="F379" s="4">
        <f t="shared" si="23"/>
        <v>93.342206058115025</v>
      </c>
    </row>
    <row r="380" spans="1:6" x14ac:dyDescent="0.35">
      <c r="A380" s="1">
        <v>45138</v>
      </c>
      <c r="B380" s="2">
        <v>101.65</v>
      </c>
      <c r="C380" s="4">
        <f t="shared" si="20"/>
        <v>80.20750000000001</v>
      </c>
      <c r="D380" s="4">
        <f t="shared" si="21"/>
        <v>8.6778666013023464</v>
      </c>
      <c r="E380" s="4">
        <f t="shared" si="22"/>
        <v>62.851766797395314</v>
      </c>
      <c r="F380" s="4">
        <f t="shared" si="23"/>
        <v>97.563233202604707</v>
      </c>
    </row>
    <row r="381" spans="1:6" x14ac:dyDescent="0.35">
      <c r="A381" s="1">
        <v>45135</v>
      </c>
      <c r="B381" s="2">
        <v>99.63</v>
      </c>
      <c r="C381" s="4">
        <f t="shared" si="20"/>
        <v>81.573499999999996</v>
      </c>
      <c r="D381" s="4">
        <f t="shared" si="21"/>
        <v>9.443651981622514</v>
      </c>
      <c r="E381" s="4">
        <f t="shared" si="22"/>
        <v>62.686196036754964</v>
      </c>
      <c r="F381" s="4">
        <f t="shared" si="23"/>
        <v>100.46080396324503</v>
      </c>
    </row>
    <row r="382" spans="1:6" x14ac:dyDescent="0.35">
      <c r="A382" s="1">
        <v>45134</v>
      </c>
      <c r="B382" s="2">
        <v>95.73</v>
      </c>
      <c r="C382" s="4">
        <f t="shared" si="20"/>
        <v>82.778999999999996</v>
      </c>
      <c r="D382" s="4">
        <f t="shared" si="21"/>
        <v>9.6330705904192531</v>
      </c>
      <c r="E382" s="4">
        <f t="shared" si="22"/>
        <v>63.512858819161494</v>
      </c>
      <c r="F382" s="4">
        <f t="shared" si="23"/>
        <v>102.0451411808385</v>
      </c>
    </row>
    <row r="383" spans="1:6" x14ac:dyDescent="0.35">
      <c r="A383" s="1">
        <v>45133</v>
      </c>
      <c r="B383" s="2">
        <v>96.39</v>
      </c>
      <c r="C383" s="4">
        <f t="shared" si="20"/>
        <v>83.944500000000005</v>
      </c>
      <c r="D383" s="4">
        <f t="shared" si="21"/>
        <v>9.7978107120927387</v>
      </c>
      <c r="E383" s="4">
        <f t="shared" si="22"/>
        <v>64.348878575814524</v>
      </c>
      <c r="F383" s="4">
        <f t="shared" si="23"/>
        <v>103.54012142418549</v>
      </c>
    </row>
    <row r="384" spans="1:6" x14ac:dyDescent="0.35">
      <c r="A384" s="1">
        <v>45132</v>
      </c>
      <c r="B384" s="2">
        <v>94.99</v>
      </c>
      <c r="C384" s="4">
        <f t="shared" si="20"/>
        <v>85.02000000000001</v>
      </c>
      <c r="D384" s="4">
        <f t="shared" si="21"/>
        <v>9.7706325281426665</v>
      </c>
      <c r="E384" s="4">
        <f t="shared" si="22"/>
        <v>65.47873494371467</v>
      </c>
      <c r="F384" s="4">
        <f t="shared" si="23"/>
        <v>104.56126505628535</v>
      </c>
    </row>
    <row r="385" spans="1:6" x14ac:dyDescent="0.35">
      <c r="A385" s="1">
        <v>45131</v>
      </c>
      <c r="B385" s="2">
        <v>96.54</v>
      </c>
      <c r="C385" s="4">
        <f t="shared" si="20"/>
        <v>86.180999999999997</v>
      </c>
      <c r="D385" s="4">
        <f t="shared" si="21"/>
        <v>9.6906325386942953</v>
      </c>
      <c r="E385" s="4">
        <f t="shared" si="22"/>
        <v>66.799734922611407</v>
      </c>
      <c r="F385" s="4">
        <f t="shared" si="23"/>
        <v>105.56226507738859</v>
      </c>
    </row>
    <row r="386" spans="1:6" x14ac:dyDescent="0.35">
      <c r="A386" s="1">
        <v>45128</v>
      </c>
      <c r="B386" s="2">
        <v>96.74</v>
      </c>
      <c r="C386" s="4">
        <f t="shared" si="20"/>
        <v>87.329000000000008</v>
      </c>
      <c r="D386" s="4">
        <f t="shared" si="21"/>
        <v>9.5118788364863729</v>
      </c>
      <c r="E386" s="4">
        <f t="shared" si="22"/>
        <v>68.305242327027258</v>
      </c>
      <c r="F386" s="4">
        <f t="shared" si="23"/>
        <v>106.35275767297276</v>
      </c>
    </row>
    <row r="387" spans="1:6" x14ac:dyDescent="0.35">
      <c r="A387" s="1">
        <v>45127</v>
      </c>
      <c r="B387" s="2">
        <v>93.07</v>
      </c>
      <c r="C387" s="4">
        <f t="shared" si="20"/>
        <v>88.233999999999995</v>
      </c>
      <c r="D387" s="4">
        <f t="shared" si="21"/>
        <v>9.1469953536667514</v>
      </c>
      <c r="E387" s="4">
        <f t="shared" si="22"/>
        <v>69.940009292666488</v>
      </c>
      <c r="F387" s="4">
        <f t="shared" si="23"/>
        <v>106.5279907073335</v>
      </c>
    </row>
    <row r="388" spans="1:6" x14ac:dyDescent="0.35">
      <c r="A388" s="1">
        <v>45126</v>
      </c>
      <c r="B388" s="2">
        <v>96.09</v>
      </c>
      <c r="C388" s="4">
        <f t="shared" si="20"/>
        <v>89.340999999999994</v>
      </c>
      <c r="D388" s="4">
        <f t="shared" si="21"/>
        <v>8.679071321287779</v>
      </c>
      <c r="E388" s="4">
        <f t="shared" si="22"/>
        <v>71.982857357424436</v>
      </c>
      <c r="F388" s="4">
        <f t="shared" si="23"/>
        <v>106.69914264257555</v>
      </c>
    </row>
    <row r="389" spans="1:6" x14ac:dyDescent="0.35">
      <c r="A389" s="1">
        <v>45125</v>
      </c>
      <c r="B389" s="2">
        <v>93.33</v>
      </c>
      <c r="C389" s="4">
        <f t="shared" si="20"/>
        <v>90.214499999999987</v>
      </c>
      <c r="D389" s="4">
        <f t="shared" si="21"/>
        <v>8.1407625410645643</v>
      </c>
      <c r="E389" s="4">
        <f t="shared" si="22"/>
        <v>73.932974917870865</v>
      </c>
      <c r="F389" s="4">
        <f t="shared" si="23"/>
        <v>106.49602508212911</v>
      </c>
    </row>
    <row r="390" spans="1:6" x14ac:dyDescent="0.35">
      <c r="A390" s="1">
        <v>45124</v>
      </c>
      <c r="B390" s="2">
        <v>93.4</v>
      </c>
      <c r="C390" s="4">
        <f t="shared" si="20"/>
        <v>90.919499999999999</v>
      </c>
      <c r="D390" s="4">
        <f t="shared" si="21"/>
        <v>7.7669842764099881</v>
      </c>
      <c r="E390" s="4">
        <f t="shared" si="22"/>
        <v>75.385531447180028</v>
      </c>
      <c r="F390" s="4">
        <f t="shared" si="23"/>
        <v>106.45346855281997</v>
      </c>
    </row>
    <row r="391" spans="1:6" x14ac:dyDescent="0.35">
      <c r="A391" s="1">
        <v>45121</v>
      </c>
      <c r="B391" s="2">
        <v>92.25</v>
      </c>
      <c r="C391" s="4">
        <f t="shared" si="20"/>
        <v>91.7</v>
      </c>
      <c r="D391" s="4">
        <f t="shared" si="21"/>
        <v>7.0434487291383032</v>
      </c>
      <c r="E391" s="4">
        <f t="shared" si="22"/>
        <v>77.613102541723393</v>
      </c>
      <c r="F391" s="4">
        <f t="shared" si="23"/>
        <v>105.78689745827661</v>
      </c>
    </row>
    <row r="392" spans="1:6" x14ac:dyDescent="0.35">
      <c r="A392" s="1">
        <v>45120</v>
      </c>
      <c r="B392" s="2">
        <v>93.15</v>
      </c>
      <c r="C392" s="4">
        <f t="shared" si="20"/>
        <v>92.446999999999989</v>
      </c>
      <c r="D392" s="4">
        <f t="shared" si="21"/>
        <v>6.3291611608490408</v>
      </c>
      <c r="E392" s="4">
        <f t="shared" si="22"/>
        <v>79.788677678301909</v>
      </c>
      <c r="F392" s="4">
        <f t="shared" si="23"/>
        <v>105.10532232169807</v>
      </c>
    </row>
    <row r="393" spans="1:6" x14ac:dyDescent="0.35">
      <c r="A393" s="1">
        <v>45119</v>
      </c>
      <c r="B393" s="2">
        <v>91.5</v>
      </c>
      <c r="C393" s="4">
        <f t="shared" si="20"/>
        <v>93.028499999999994</v>
      </c>
      <c r="D393" s="4">
        <f t="shared" si="21"/>
        <v>5.6441060186711578</v>
      </c>
      <c r="E393" s="4">
        <f t="shared" si="22"/>
        <v>81.740287962657675</v>
      </c>
      <c r="F393" s="4">
        <f t="shared" si="23"/>
        <v>104.31671203734231</v>
      </c>
    </row>
    <row r="394" spans="1:6" x14ac:dyDescent="0.35">
      <c r="A394" s="1">
        <v>45118</v>
      </c>
      <c r="B394" s="2">
        <v>93.71</v>
      </c>
      <c r="C394" s="4">
        <f t="shared" si="20"/>
        <v>93.588999999999999</v>
      </c>
      <c r="D394" s="4">
        <f t="shared" si="21"/>
        <v>5.1012281854471073</v>
      </c>
      <c r="E394" s="4">
        <f t="shared" si="22"/>
        <v>83.386543629105788</v>
      </c>
      <c r="F394" s="4">
        <f t="shared" si="23"/>
        <v>103.79145637089421</v>
      </c>
    </row>
    <row r="395" spans="1:6" x14ac:dyDescent="0.35">
      <c r="A395" s="1">
        <v>45117</v>
      </c>
      <c r="B395" s="2">
        <v>85.83</v>
      </c>
      <c r="C395" s="4">
        <f t="shared" si="20"/>
        <v>93.658999999999992</v>
      </c>
      <c r="D395" s="4">
        <f t="shared" si="21"/>
        <v>4.9833090411893979</v>
      </c>
      <c r="E395" s="4">
        <f t="shared" si="22"/>
        <v>83.692381917621191</v>
      </c>
      <c r="F395" s="4">
        <f t="shared" si="23"/>
        <v>103.62561808237879</v>
      </c>
    </row>
    <row r="396" spans="1:6" x14ac:dyDescent="0.35">
      <c r="A396" s="1">
        <v>45114</v>
      </c>
      <c r="B396" s="2">
        <v>82.76</v>
      </c>
      <c r="C396" s="4">
        <f t="shared" si="20"/>
        <v>93.717500000000001</v>
      </c>
      <c r="D396" s="4">
        <f t="shared" si="21"/>
        <v>4.8462685387832147</v>
      </c>
      <c r="E396" s="4">
        <f t="shared" si="22"/>
        <v>84.024962922433573</v>
      </c>
      <c r="F396" s="4">
        <f t="shared" si="23"/>
        <v>103.41003707756643</v>
      </c>
    </row>
    <row r="397" spans="1:6" x14ac:dyDescent="0.35">
      <c r="A397" s="1">
        <v>45113</v>
      </c>
      <c r="B397" s="2">
        <v>82.91</v>
      </c>
      <c r="C397" s="4">
        <f t="shared" si="20"/>
        <v>93.717000000000013</v>
      </c>
      <c r="D397" s="4">
        <f t="shared" si="21"/>
        <v>4.8473829021442079</v>
      </c>
      <c r="E397" s="4">
        <f t="shared" si="22"/>
        <v>84.022234195711604</v>
      </c>
      <c r="F397" s="4">
        <f t="shared" si="23"/>
        <v>103.41176580428842</v>
      </c>
    </row>
    <row r="398" spans="1:6" x14ac:dyDescent="0.35">
      <c r="A398" s="1">
        <v>45112</v>
      </c>
      <c r="B398" s="2">
        <v>85.15</v>
      </c>
      <c r="C398" s="4">
        <f t="shared" si="20"/>
        <v>93.171000000000021</v>
      </c>
      <c r="D398" s="4">
        <f t="shared" si="21"/>
        <v>5.1567285171899435</v>
      </c>
      <c r="E398" s="4">
        <f t="shared" si="22"/>
        <v>82.857542965620127</v>
      </c>
      <c r="F398" s="4">
        <f t="shared" si="23"/>
        <v>103.48445703437991</v>
      </c>
    </row>
    <row r="399" spans="1:6" x14ac:dyDescent="0.35">
      <c r="A399" s="1">
        <v>45110</v>
      </c>
      <c r="B399" s="2">
        <v>85.4</v>
      </c>
      <c r="C399" s="4">
        <f t="shared" si="20"/>
        <v>92.511000000000024</v>
      </c>
      <c r="D399" s="4">
        <f t="shared" si="21"/>
        <v>5.2632660012581542</v>
      </c>
      <c r="E399" s="4">
        <f t="shared" si="22"/>
        <v>81.984467997483719</v>
      </c>
      <c r="F399" s="4">
        <f t="shared" si="23"/>
        <v>103.03753200251633</v>
      </c>
    </row>
    <row r="400" spans="1:6" x14ac:dyDescent="0.35">
      <c r="A400" s="1">
        <v>45107</v>
      </c>
      <c r="B400" s="2">
        <v>84.61</v>
      </c>
      <c r="C400" s="4">
        <f t="shared" si="20"/>
        <v>91.659000000000006</v>
      </c>
      <c r="D400" s="4">
        <f t="shared" si="21"/>
        <v>5.0912954147250176</v>
      </c>
      <c r="E400" s="4">
        <f t="shared" si="22"/>
        <v>81.476409170549971</v>
      </c>
      <c r="F400" s="4">
        <f t="shared" si="23"/>
        <v>101.84159082945004</v>
      </c>
    </row>
    <row r="401" spans="1:6" x14ac:dyDescent="0.35">
      <c r="A401" s="1">
        <v>45106</v>
      </c>
      <c r="B401" s="2">
        <v>85.73</v>
      </c>
      <c r="C401" s="4">
        <f t="shared" si="20"/>
        <v>90.964000000000013</v>
      </c>
      <c r="D401" s="4">
        <f t="shared" si="21"/>
        <v>4.9009258309017483</v>
      </c>
      <c r="E401" s="4">
        <f t="shared" si="22"/>
        <v>81.162148338196516</v>
      </c>
      <c r="F401" s="4">
        <f t="shared" si="23"/>
        <v>100.76585166180351</v>
      </c>
    </row>
    <row r="402" spans="1:6" x14ac:dyDescent="0.35">
      <c r="A402" s="1">
        <v>45105</v>
      </c>
      <c r="B402" s="2">
        <v>87.45</v>
      </c>
      <c r="C402" s="4">
        <f t="shared" si="20"/>
        <v>90.550000000000011</v>
      </c>
      <c r="D402" s="4">
        <f t="shared" si="21"/>
        <v>4.8300465836262898</v>
      </c>
      <c r="E402" s="4">
        <f t="shared" si="22"/>
        <v>80.889906832747428</v>
      </c>
      <c r="F402" s="4">
        <f t="shared" si="23"/>
        <v>100.21009316725259</v>
      </c>
    </row>
    <row r="403" spans="1:6" x14ac:dyDescent="0.35">
      <c r="A403" s="1">
        <v>45104</v>
      </c>
      <c r="B403" s="2">
        <v>87.49</v>
      </c>
      <c r="C403" s="4">
        <f t="shared" si="20"/>
        <v>90.105000000000004</v>
      </c>
      <c r="D403" s="4">
        <f t="shared" si="21"/>
        <v>4.6791265210506969</v>
      </c>
      <c r="E403" s="4">
        <f t="shared" si="22"/>
        <v>80.746746957898608</v>
      </c>
      <c r="F403" s="4">
        <f t="shared" si="23"/>
        <v>99.4632530421014</v>
      </c>
    </row>
    <row r="404" spans="1:6" x14ac:dyDescent="0.35">
      <c r="A404" s="1">
        <v>45103</v>
      </c>
      <c r="B404" s="2">
        <v>84.57</v>
      </c>
      <c r="C404" s="4">
        <f t="shared" si="20"/>
        <v>89.584000000000017</v>
      </c>
      <c r="D404" s="4">
        <f t="shared" si="21"/>
        <v>4.6863028071177819</v>
      </c>
      <c r="E404" s="4">
        <f t="shared" si="22"/>
        <v>80.21139438576445</v>
      </c>
      <c r="F404" s="4">
        <f t="shared" si="23"/>
        <v>98.956605614235585</v>
      </c>
    </row>
    <row r="405" spans="1:6" x14ac:dyDescent="0.35">
      <c r="A405" s="1">
        <v>45100</v>
      </c>
      <c r="B405" s="2">
        <v>88.93</v>
      </c>
      <c r="C405" s="4">
        <f t="shared" si="20"/>
        <v>89.203500000000005</v>
      </c>
      <c r="D405" s="4">
        <f t="shared" si="21"/>
        <v>4.4066702565542606</v>
      </c>
      <c r="E405" s="4">
        <f t="shared" si="22"/>
        <v>80.390159486891491</v>
      </c>
      <c r="F405" s="4">
        <f t="shared" si="23"/>
        <v>98.016840513108519</v>
      </c>
    </row>
    <row r="406" spans="1:6" x14ac:dyDescent="0.35">
      <c r="A406" s="1">
        <v>45099</v>
      </c>
      <c r="B406" s="2">
        <v>92.14</v>
      </c>
      <c r="C406" s="4">
        <f t="shared" ref="C406:C469" si="24">AVERAGE(B387:B406)</f>
        <v>88.973500000000016</v>
      </c>
      <c r="D406" s="4">
        <f t="shared" ref="D406:D469" si="25">_xlfn.STDEV.P(B387:B406)</f>
        <v>4.1178942130657017</v>
      </c>
      <c r="E406" s="4">
        <f t="shared" ref="E406:E469" si="26">C406-2*D406</f>
        <v>80.737711573868609</v>
      </c>
      <c r="F406" s="4">
        <f t="shared" ref="F406:F469" si="27">C406+2*D406</f>
        <v>97.209288426131423</v>
      </c>
    </row>
    <row r="407" spans="1:6" x14ac:dyDescent="0.35">
      <c r="A407" s="1">
        <v>45098</v>
      </c>
      <c r="B407" s="2">
        <v>94.63</v>
      </c>
      <c r="C407" s="4">
        <f t="shared" si="24"/>
        <v>89.051500000000004</v>
      </c>
      <c r="D407" s="4">
        <f t="shared" si="25"/>
        <v>4.2085273849649587</v>
      </c>
      <c r="E407" s="4">
        <f t="shared" si="26"/>
        <v>80.634445230070085</v>
      </c>
      <c r="F407" s="4">
        <f t="shared" si="27"/>
        <v>97.468554769929924</v>
      </c>
    </row>
    <row r="408" spans="1:6" x14ac:dyDescent="0.35">
      <c r="A408" s="1">
        <v>45097</v>
      </c>
      <c r="B408" s="2">
        <v>96.19</v>
      </c>
      <c r="C408" s="4">
        <f t="shared" si="24"/>
        <v>89.0565</v>
      </c>
      <c r="D408" s="4">
        <f t="shared" si="25"/>
        <v>4.2169376032851131</v>
      </c>
      <c r="E408" s="4">
        <f t="shared" si="26"/>
        <v>80.622624793429779</v>
      </c>
      <c r="F408" s="4">
        <f t="shared" si="27"/>
        <v>97.490375206570221</v>
      </c>
    </row>
    <row r="409" spans="1:6" x14ac:dyDescent="0.35">
      <c r="A409" s="1">
        <v>45093</v>
      </c>
      <c r="B409" s="2">
        <v>94.6</v>
      </c>
      <c r="C409" s="4">
        <f t="shared" si="24"/>
        <v>89.12</v>
      </c>
      <c r="D409" s="4">
        <f t="shared" si="25"/>
        <v>4.2897447476510759</v>
      </c>
      <c r="E409" s="4">
        <f t="shared" si="26"/>
        <v>80.540510504697849</v>
      </c>
      <c r="F409" s="4">
        <f t="shared" si="27"/>
        <v>97.69948949530216</v>
      </c>
    </row>
    <row r="410" spans="1:6" x14ac:dyDescent="0.35">
      <c r="A410" s="1">
        <v>45092</v>
      </c>
      <c r="B410" s="2">
        <v>95.97</v>
      </c>
      <c r="C410" s="4">
        <f t="shared" si="24"/>
        <v>89.248500000000007</v>
      </c>
      <c r="D410" s="4">
        <f t="shared" si="25"/>
        <v>4.4514719756503007</v>
      </c>
      <c r="E410" s="4">
        <f t="shared" si="26"/>
        <v>80.345556048699407</v>
      </c>
      <c r="F410" s="4">
        <f t="shared" si="27"/>
        <v>98.151443951300607</v>
      </c>
    </row>
    <row r="411" spans="1:6" x14ac:dyDescent="0.35">
      <c r="A411" s="1">
        <v>45091</v>
      </c>
      <c r="B411" s="2">
        <v>95.06</v>
      </c>
      <c r="C411" s="4">
        <f t="shared" si="24"/>
        <v>89.388999999999996</v>
      </c>
      <c r="D411" s="4">
        <f t="shared" si="25"/>
        <v>4.5862936015915929</v>
      </c>
      <c r="E411" s="4">
        <f t="shared" si="26"/>
        <v>80.216412796816812</v>
      </c>
      <c r="F411" s="4">
        <f t="shared" si="27"/>
        <v>98.56158720318318</v>
      </c>
    </row>
    <row r="412" spans="1:6" x14ac:dyDescent="0.35">
      <c r="A412" s="1">
        <v>45090</v>
      </c>
      <c r="B412" s="2">
        <v>92.84</v>
      </c>
      <c r="C412" s="4">
        <f t="shared" si="24"/>
        <v>89.373499999999993</v>
      </c>
      <c r="D412" s="4">
        <f t="shared" si="25"/>
        <v>4.5740641392529673</v>
      </c>
      <c r="E412" s="4">
        <f t="shared" si="26"/>
        <v>80.225371721494056</v>
      </c>
      <c r="F412" s="4">
        <f t="shared" si="27"/>
        <v>98.521628278505929</v>
      </c>
    </row>
    <row r="413" spans="1:6" x14ac:dyDescent="0.35">
      <c r="A413" s="1">
        <v>45089</v>
      </c>
      <c r="B413" s="2">
        <v>90.51</v>
      </c>
      <c r="C413" s="4">
        <f t="shared" si="24"/>
        <v>89.324000000000012</v>
      </c>
      <c r="D413" s="4">
        <f t="shared" si="25"/>
        <v>4.5561051348712303</v>
      </c>
      <c r="E413" s="4">
        <f t="shared" si="26"/>
        <v>80.21178973025755</v>
      </c>
      <c r="F413" s="4">
        <f t="shared" si="27"/>
        <v>98.436210269742475</v>
      </c>
    </row>
    <row r="414" spans="1:6" x14ac:dyDescent="0.35">
      <c r="A414" s="1">
        <v>45086</v>
      </c>
      <c r="B414" s="2">
        <v>91.24</v>
      </c>
      <c r="C414" s="4">
        <f t="shared" si="24"/>
        <v>89.200500000000005</v>
      </c>
      <c r="D414" s="4">
        <f t="shared" si="25"/>
        <v>4.4681701791673056</v>
      </c>
      <c r="E414" s="4">
        <f t="shared" si="26"/>
        <v>80.264159641665401</v>
      </c>
      <c r="F414" s="4">
        <f t="shared" si="27"/>
        <v>98.136840358334609</v>
      </c>
    </row>
    <row r="415" spans="1:6" x14ac:dyDescent="0.35">
      <c r="A415" s="1">
        <v>45085</v>
      </c>
      <c r="B415" s="2">
        <v>87.56</v>
      </c>
      <c r="C415" s="4">
        <f t="shared" si="24"/>
        <v>89.287000000000006</v>
      </c>
      <c r="D415" s="4">
        <f t="shared" si="25"/>
        <v>4.4185530437010705</v>
      </c>
      <c r="E415" s="4">
        <f t="shared" si="26"/>
        <v>80.449893912597872</v>
      </c>
      <c r="F415" s="4">
        <f t="shared" si="27"/>
        <v>98.12410608740214</v>
      </c>
    </row>
    <row r="416" spans="1:6" x14ac:dyDescent="0.35">
      <c r="A416" s="1">
        <v>45084</v>
      </c>
      <c r="B416" s="2">
        <v>87.57</v>
      </c>
      <c r="C416" s="4">
        <f t="shared" si="24"/>
        <v>89.527499999999989</v>
      </c>
      <c r="D416" s="4">
        <f t="shared" si="25"/>
        <v>4.1812783631324999</v>
      </c>
      <c r="E416" s="4">
        <f t="shared" si="26"/>
        <v>81.164943273734991</v>
      </c>
      <c r="F416" s="4">
        <f t="shared" si="27"/>
        <v>97.890056726264987</v>
      </c>
    </row>
    <row r="417" spans="1:6" x14ac:dyDescent="0.35">
      <c r="A417" s="1">
        <v>45083</v>
      </c>
      <c r="B417" s="2">
        <v>90.05</v>
      </c>
      <c r="C417" s="4">
        <f t="shared" si="24"/>
        <v>89.884499999999989</v>
      </c>
      <c r="D417" s="4">
        <f t="shared" si="25"/>
        <v>3.8961166242811562</v>
      </c>
      <c r="E417" s="4">
        <f t="shared" si="26"/>
        <v>82.092266751437677</v>
      </c>
      <c r="F417" s="4">
        <f t="shared" si="27"/>
        <v>97.6767332485623</v>
      </c>
    </row>
    <row r="418" spans="1:6" x14ac:dyDescent="0.35">
      <c r="A418" s="1">
        <v>45082</v>
      </c>
      <c r="B418" s="2">
        <v>85.25</v>
      </c>
      <c r="C418" s="4">
        <f t="shared" si="24"/>
        <v>89.889499999999984</v>
      </c>
      <c r="D418" s="4">
        <f t="shared" si="25"/>
        <v>3.8900970103584815</v>
      </c>
      <c r="E418" s="4">
        <f t="shared" si="26"/>
        <v>82.109305979283022</v>
      </c>
      <c r="F418" s="4">
        <f t="shared" si="27"/>
        <v>97.669694020716946</v>
      </c>
    </row>
    <row r="419" spans="1:6" x14ac:dyDescent="0.35">
      <c r="A419" s="1">
        <v>45079</v>
      </c>
      <c r="B419" s="2">
        <v>85.01</v>
      </c>
      <c r="C419" s="4">
        <f t="shared" si="24"/>
        <v>89.86999999999999</v>
      </c>
      <c r="D419" s="4">
        <f t="shared" si="25"/>
        <v>3.9134601058398428</v>
      </c>
      <c r="E419" s="4">
        <f t="shared" si="26"/>
        <v>82.043079788320298</v>
      </c>
      <c r="F419" s="4">
        <f t="shared" si="27"/>
        <v>97.696920211679682</v>
      </c>
    </row>
    <row r="420" spans="1:6" x14ac:dyDescent="0.35">
      <c r="A420" s="1">
        <v>45078</v>
      </c>
      <c r="B420" s="2">
        <v>81.99</v>
      </c>
      <c r="C420" s="4">
        <f t="shared" si="24"/>
        <v>89.739000000000004</v>
      </c>
      <c r="D420" s="4">
        <f t="shared" si="25"/>
        <v>4.1254513692443391</v>
      </c>
      <c r="E420" s="4">
        <f t="shared" si="26"/>
        <v>81.488097261511328</v>
      </c>
      <c r="F420" s="4">
        <f t="shared" si="27"/>
        <v>97.989902738488681</v>
      </c>
    </row>
    <row r="421" spans="1:6" x14ac:dyDescent="0.35">
      <c r="A421" s="1">
        <v>45077</v>
      </c>
      <c r="B421" s="2">
        <v>81.05</v>
      </c>
      <c r="C421" s="4">
        <f t="shared" si="24"/>
        <v>89.50500000000001</v>
      </c>
      <c r="D421" s="4">
        <f t="shared" si="25"/>
        <v>4.4649664052487568</v>
      </c>
      <c r="E421" s="4">
        <f t="shared" si="26"/>
        <v>80.575067189502491</v>
      </c>
      <c r="F421" s="4">
        <f t="shared" si="27"/>
        <v>98.434932810497529</v>
      </c>
    </row>
    <row r="422" spans="1:6" x14ac:dyDescent="0.35">
      <c r="A422" s="1">
        <v>45076</v>
      </c>
      <c r="B422" s="2">
        <v>82.49</v>
      </c>
      <c r="C422" s="4">
        <f t="shared" si="24"/>
        <v>89.256999999999991</v>
      </c>
      <c r="D422" s="4">
        <f t="shared" si="25"/>
        <v>4.7035923505337927</v>
      </c>
      <c r="E422" s="4">
        <f t="shared" si="26"/>
        <v>79.849815298932413</v>
      </c>
      <c r="F422" s="4">
        <f t="shared" si="27"/>
        <v>98.664184701067569</v>
      </c>
    </row>
    <row r="423" spans="1:6" x14ac:dyDescent="0.35">
      <c r="A423" s="1">
        <v>45072</v>
      </c>
      <c r="B423" s="2">
        <v>85.53</v>
      </c>
      <c r="C423" s="4">
        <f t="shared" si="24"/>
        <v>89.158999999999992</v>
      </c>
      <c r="D423" s="4">
        <f t="shared" si="25"/>
        <v>4.7594736053475497</v>
      </c>
      <c r="E423" s="4">
        <f t="shared" si="26"/>
        <v>79.640052789304889</v>
      </c>
      <c r="F423" s="4">
        <f t="shared" si="27"/>
        <v>98.677947210695095</v>
      </c>
    </row>
    <row r="424" spans="1:6" x14ac:dyDescent="0.35">
      <c r="A424" s="1">
        <v>45071</v>
      </c>
      <c r="B424" s="2">
        <v>86.23</v>
      </c>
      <c r="C424" s="4">
        <f t="shared" si="24"/>
        <v>89.24199999999999</v>
      </c>
      <c r="D424" s="4">
        <f t="shared" si="25"/>
        <v>4.6927290567429951</v>
      </c>
      <c r="E424" s="4">
        <f t="shared" si="26"/>
        <v>79.856541886513995</v>
      </c>
      <c r="F424" s="4">
        <f t="shared" si="27"/>
        <v>98.627458113485986</v>
      </c>
    </row>
    <row r="425" spans="1:6" x14ac:dyDescent="0.35">
      <c r="A425" s="1">
        <v>45070</v>
      </c>
      <c r="B425" s="2">
        <v>87.66</v>
      </c>
      <c r="C425" s="4">
        <f t="shared" si="24"/>
        <v>89.1785</v>
      </c>
      <c r="D425" s="4">
        <f t="shared" si="25"/>
        <v>4.7050975282134164</v>
      </c>
      <c r="E425" s="4">
        <f t="shared" si="26"/>
        <v>79.76830494357317</v>
      </c>
      <c r="F425" s="4">
        <f t="shared" si="27"/>
        <v>98.588695056426829</v>
      </c>
    </row>
    <row r="426" spans="1:6" x14ac:dyDescent="0.35">
      <c r="A426" s="1">
        <v>45069</v>
      </c>
      <c r="B426" s="2">
        <v>88.03</v>
      </c>
      <c r="C426" s="4">
        <f t="shared" si="24"/>
        <v>88.972999999999985</v>
      </c>
      <c r="D426" s="4">
        <f t="shared" si="25"/>
        <v>4.6608090499397203</v>
      </c>
      <c r="E426" s="4">
        <f t="shared" si="26"/>
        <v>79.651381900120541</v>
      </c>
      <c r="F426" s="4">
        <f t="shared" si="27"/>
        <v>98.294618099879429</v>
      </c>
    </row>
    <row r="427" spans="1:6" x14ac:dyDescent="0.35">
      <c r="A427" s="1">
        <v>45068</v>
      </c>
      <c r="B427" s="2">
        <v>90.02</v>
      </c>
      <c r="C427" s="4">
        <f t="shared" si="24"/>
        <v>88.742499999999993</v>
      </c>
      <c r="D427" s="4">
        <f t="shared" si="25"/>
        <v>4.4860604933504851</v>
      </c>
      <c r="E427" s="4">
        <f t="shared" si="26"/>
        <v>79.770379013299021</v>
      </c>
      <c r="F427" s="4">
        <f t="shared" si="27"/>
        <v>97.714620986700965</v>
      </c>
    </row>
    <row r="428" spans="1:6" x14ac:dyDescent="0.35">
      <c r="A428" s="1">
        <v>45065</v>
      </c>
      <c r="B428" s="2">
        <v>89.1</v>
      </c>
      <c r="C428" s="4">
        <f t="shared" si="24"/>
        <v>88.387999999999991</v>
      </c>
      <c r="D428" s="4">
        <f t="shared" si="25"/>
        <v>4.1511680283987547</v>
      </c>
      <c r="E428" s="4">
        <f t="shared" si="26"/>
        <v>80.085663943202476</v>
      </c>
      <c r="F428" s="4">
        <f t="shared" si="27"/>
        <v>96.690336056797506</v>
      </c>
    </row>
    <row r="429" spans="1:6" x14ac:dyDescent="0.35">
      <c r="A429" s="1">
        <v>45064</v>
      </c>
      <c r="B429" s="2">
        <v>92.39</v>
      </c>
      <c r="C429" s="4">
        <f t="shared" si="24"/>
        <v>88.277500000000003</v>
      </c>
      <c r="D429" s="4">
        <f t="shared" si="25"/>
        <v>4.0114010956273134</v>
      </c>
      <c r="E429" s="4">
        <f t="shared" si="26"/>
        <v>80.254697808745377</v>
      </c>
      <c r="F429" s="4">
        <f t="shared" si="27"/>
        <v>96.30030219125463</v>
      </c>
    </row>
    <row r="430" spans="1:6" x14ac:dyDescent="0.35">
      <c r="A430" s="1">
        <v>45063</v>
      </c>
      <c r="B430" s="2">
        <v>94.99</v>
      </c>
      <c r="C430" s="4">
        <f t="shared" si="24"/>
        <v>88.228499999999997</v>
      </c>
      <c r="D430" s="4">
        <f t="shared" si="25"/>
        <v>3.9221285993705002</v>
      </c>
      <c r="E430" s="4">
        <f t="shared" si="26"/>
        <v>80.384242801258992</v>
      </c>
      <c r="F430" s="4">
        <f t="shared" si="27"/>
        <v>96.072757198741002</v>
      </c>
    </row>
    <row r="431" spans="1:6" x14ac:dyDescent="0.35">
      <c r="A431" s="1">
        <v>45062</v>
      </c>
      <c r="B431" s="2">
        <v>92.65</v>
      </c>
      <c r="C431" s="4">
        <f t="shared" si="24"/>
        <v>88.108000000000004</v>
      </c>
      <c r="D431" s="4">
        <f t="shared" si="25"/>
        <v>3.7433388839377075</v>
      </c>
      <c r="E431" s="4">
        <f t="shared" si="26"/>
        <v>80.621322232124584</v>
      </c>
      <c r="F431" s="4">
        <f t="shared" si="27"/>
        <v>95.594677767875424</v>
      </c>
    </row>
    <row r="432" spans="1:6" x14ac:dyDescent="0.35">
      <c r="A432" s="1">
        <v>45061</v>
      </c>
      <c r="B432" s="2">
        <v>97.85</v>
      </c>
      <c r="C432" s="4">
        <f t="shared" si="24"/>
        <v>88.358500000000006</v>
      </c>
      <c r="D432" s="4">
        <f t="shared" si="25"/>
        <v>4.1923230731898515</v>
      </c>
      <c r="E432" s="4">
        <f t="shared" si="26"/>
        <v>79.973853853620298</v>
      </c>
      <c r="F432" s="4">
        <f t="shared" si="27"/>
        <v>96.743146146379715</v>
      </c>
    </row>
    <row r="433" spans="1:6" x14ac:dyDescent="0.35">
      <c r="A433" s="1">
        <v>45058</v>
      </c>
      <c r="B433" s="2">
        <v>94.68</v>
      </c>
      <c r="C433" s="4">
        <f t="shared" si="24"/>
        <v>88.567000000000007</v>
      </c>
      <c r="D433" s="4">
        <f t="shared" si="25"/>
        <v>4.3930309582337346</v>
      </c>
      <c r="E433" s="4">
        <f t="shared" si="26"/>
        <v>79.780938083532533</v>
      </c>
      <c r="F433" s="4">
        <f t="shared" si="27"/>
        <v>97.353061916467482</v>
      </c>
    </row>
    <row r="434" spans="1:6" x14ac:dyDescent="0.35">
      <c r="A434" s="1">
        <v>45057</v>
      </c>
      <c r="B434" s="2">
        <v>96.36</v>
      </c>
      <c r="C434" s="4">
        <f t="shared" si="24"/>
        <v>88.822999999999993</v>
      </c>
      <c r="D434" s="4">
        <f t="shared" si="25"/>
        <v>4.6810769060121196</v>
      </c>
      <c r="E434" s="4">
        <f t="shared" si="26"/>
        <v>79.460846187975761</v>
      </c>
      <c r="F434" s="4">
        <f t="shared" si="27"/>
        <v>98.185153812024225</v>
      </c>
    </row>
    <row r="435" spans="1:6" x14ac:dyDescent="0.35">
      <c r="A435" s="1">
        <v>45056</v>
      </c>
      <c r="B435" s="2">
        <v>94.84</v>
      </c>
      <c r="C435" s="4">
        <f t="shared" si="24"/>
        <v>89.186999999999983</v>
      </c>
      <c r="D435" s="4">
        <f t="shared" si="25"/>
        <v>4.8487566447492503</v>
      </c>
      <c r="E435" s="4">
        <f t="shared" si="26"/>
        <v>79.489486710501481</v>
      </c>
      <c r="F435" s="4">
        <f t="shared" si="27"/>
        <v>98.884513289498486</v>
      </c>
    </row>
    <row r="436" spans="1:6" x14ac:dyDescent="0.35">
      <c r="A436" s="1">
        <v>45055</v>
      </c>
      <c r="B436" s="2">
        <v>92.71</v>
      </c>
      <c r="C436" s="4">
        <f t="shared" si="24"/>
        <v>89.443999999999988</v>
      </c>
      <c r="D436" s="4">
        <f t="shared" si="25"/>
        <v>4.8922626667013702</v>
      </c>
      <c r="E436" s="4">
        <f t="shared" si="26"/>
        <v>79.659474666597248</v>
      </c>
      <c r="F436" s="4">
        <f t="shared" si="27"/>
        <v>99.228525333402729</v>
      </c>
    </row>
    <row r="437" spans="1:6" x14ac:dyDescent="0.35">
      <c r="A437" s="1">
        <v>45054</v>
      </c>
      <c r="B437" s="2">
        <v>92.78</v>
      </c>
      <c r="C437" s="4">
        <f t="shared" si="24"/>
        <v>89.580500000000001</v>
      </c>
      <c r="D437" s="4">
        <f t="shared" si="25"/>
        <v>4.9450667083468147</v>
      </c>
      <c r="E437" s="4">
        <f t="shared" si="26"/>
        <v>79.690366583306371</v>
      </c>
      <c r="F437" s="4">
        <f t="shared" si="27"/>
        <v>99.47063341669363</v>
      </c>
    </row>
    <row r="438" spans="1:6" x14ac:dyDescent="0.35">
      <c r="A438" s="1">
        <v>45051</v>
      </c>
      <c r="B438" s="2">
        <v>90</v>
      </c>
      <c r="C438" s="4">
        <f t="shared" si="24"/>
        <v>89.817999999999998</v>
      </c>
      <c r="D438" s="4">
        <f t="shared" si="25"/>
        <v>4.8444211212486481</v>
      </c>
      <c r="E438" s="4">
        <f t="shared" si="26"/>
        <v>80.129157757502696</v>
      </c>
      <c r="F438" s="4">
        <f t="shared" si="27"/>
        <v>99.506842242497299</v>
      </c>
    </row>
    <row r="439" spans="1:6" x14ac:dyDescent="0.35">
      <c r="A439" s="1">
        <v>45050</v>
      </c>
      <c r="B439" s="2">
        <v>92.55</v>
      </c>
      <c r="C439" s="4">
        <f t="shared" si="24"/>
        <v>90.194999999999979</v>
      </c>
      <c r="D439" s="4">
        <f t="shared" si="25"/>
        <v>4.7480137952621835</v>
      </c>
      <c r="E439" s="4">
        <f t="shared" si="26"/>
        <v>80.698972409475616</v>
      </c>
      <c r="F439" s="4">
        <f t="shared" si="27"/>
        <v>99.691027590524342</v>
      </c>
    </row>
    <row r="440" spans="1:6" x14ac:dyDescent="0.35">
      <c r="A440" s="1">
        <v>45049</v>
      </c>
      <c r="B440" s="2">
        <v>98.965000000000003</v>
      </c>
      <c r="C440" s="4">
        <f t="shared" si="24"/>
        <v>91.043749999999989</v>
      </c>
      <c r="D440" s="4">
        <f t="shared" si="25"/>
        <v>4.7225842700263181</v>
      </c>
      <c r="E440" s="4">
        <f t="shared" si="26"/>
        <v>81.598581459947354</v>
      </c>
      <c r="F440" s="4">
        <f t="shared" si="27"/>
        <v>100.48891854005262</v>
      </c>
    </row>
    <row r="441" spans="1:6" x14ac:dyDescent="0.35">
      <c r="A441" s="1">
        <v>45048</v>
      </c>
      <c r="B441" s="2">
        <v>99.19</v>
      </c>
      <c r="C441" s="4">
        <f t="shared" si="24"/>
        <v>91.950749999999985</v>
      </c>
      <c r="D441" s="4">
        <f t="shared" si="25"/>
        <v>4.4502214200531647</v>
      </c>
      <c r="E441" s="4">
        <f t="shared" si="26"/>
        <v>83.050307159893663</v>
      </c>
      <c r="F441" s="4">
        <f t="shared" si="27"/>
        <v>100.85119284010631</v>
      </c>
    </row>
    <row r="442" spans="1:6" x14ac:dyDescent="0.35">
      <c r="A442" s="1">
        <v>45047</v>
      </c>
      <c r="B442" s="2">
        <v>96.27</v>
      </c>
      <c r="C442" s="4">
        <f t="shared" si="24"/>
        <v>92.639749999999978</v>
      </c>
      <c r="D442" s="4">
        <f t="shared" si="25"/>
        <v>3.9733180325138839</v>
      </c>
      <c r="E442" s="4">
        <f t="shared" si="26"/>
        <v>84.693113934972217</v>
      </c>
      <c r="F442" s="4">
        <f t="shared" si="27"/>
        <v>100.58638606502774</v>
      </c>
    </row>
    <row r="443" spans="1:6" x14ac:dyDescent="0.35">
      <c r="A443" s="1">
        <v>45044</v>
      </c>
      <c r="B443" s="2">
        <v>101.03</v>
      </c>
      <c r="C443" s="4">
        <f t="shared" si="24"/>
        <v>93.414749999999998</v>
      </c>
      <c r="D443" s="4">
        <f t="shared" si="25"/>
        <v>4.0223150905293341</v>
      </c>
      <c r="E443" s="4">
        <f t="shared" si="26"/>
        <v>85.370119818941333</v>
      </c>
      <c r="F443" s="4">
        <f t="shared" si="27"/>
        <v>101.45938018105866</v>
      </c>
    </row>
    <row r="444" spans="1:6" x14ac:dyDescent="0.35">
      <c r="A444" s="1">
        <v>45043</v>
      </c>
      <c r="B444" s="2">
        <v>100.49</v>
      </c>
      <c r="C444" s="4">
        <f t="shared" si="24"/>
        <v>94.127749999999992</v>
      </c>
      <c r="D444" s="4">
        <f t="shared" si="25"/>
        <v>3.948743621394025</v>
      </c>
      <c r="E444" s="4">
        <f t="shared" si="26"/>
        <v>86.230262757211946</v>
      </c>
      <c r="F444" s="4">
        <f t="shared" si="27"/>
        <v>102.02523724278804</v>
      </c>
    </row>
    <row r="445" spans="1:6" x14ac:dyDescent="0.35">
      <c r="A445" s="1">
        <v>45042</v>
      </c>
      <c r="B445" s="2">
        <v>97.77</v>
      </c>
      <c r="C445" s="4">
        <f t="shared" si="24"/>
        <v>94.633250000000004</v>
      </c>
      <c r="D445" s="4">
        <f t="shared" si="25"/>
        <v>3.7294444207549198</v>
      </c>
      <c r="E445" s="4">
        <f t="shared" si="26"/>
        <v>87.174361158490171</v>
      </c>
      <c r="F445" s="4">
        <f t="shared" si="27"/>
        <v>102.09213884150984</v>
      </c>
    </row>
    <row r="446" spans="1:6" x14ac:dyDescent="0.35">
      <c r="A446" s="1">
        <v>45041</v>
      </c>
      <c r="B446" s="2">
        <v>98.37</v>
      </c>
      <c r="C446" s="4">
        <f t="shared" si="24"/>
        <v>95.15025</v>
      </c>
      <c r="D446" s="4">
        <f t="shared" si="25"/>
        <v>3.4870454811344236</v>
      </c>
      <c r="E446" s="4">
        <f t="shared" si="26"/>
        <v>88.176159037731153</v>
      </c>
      <c r="F446" s="4">
        <f t="shared" si="27"/>
        <v>102.12434096226885</v>
      </c>
    </row>
    <row r="447" spans="1:6" x14ac:dyDescent="0.35">
      <c r="A447" s="1">
        <v>45040</v>
      </c>
      <c r="B447" s="2">
        <v>102.84</v>
      </c>
      <c r="C447" s="4">
        <f t="shared" si="24"/>
        <v>95.791250000000005</v>
      </c>
      <c r="D447" s="4">
        <f t="shared" si="25"/>
        <v>3.6591316849083206</v>
      </c>
      <c r="E447" s="4">
        <f t="shared" si="26"/>
        <v>88.472986630183357</v>
      </c>
      <c r="F447" s="4">
        <f t="shared" si="27"/>
        <v>103.10951336981665</v>
      </c>
    </row>
    <row r="448" spans="1:6" x14ac:dyDescent="0.35">
      <c r="A448" s="1">
        <v>45037</v>
      </c>
      <c r="B448" s="2">
        <v>102.05</v>
      </c>
      <c r="C448" s="4">
        <f t="shared" si="24"/>
        <v>96.438749999999985</v>
      </c>
      <c r="D448" s="4">
        <f t="shared" si="25"/>
        <v>3.5622948625148929</v>
      </c>
      <c r="E448" s="4">
        <f t="shared" si="26"/>
        <v>89.314160274970192</v>
      </c>
      <c r="F448" s="4">
        <f t="shared" si="27"/>
        <v>103.56333972502978</v>
      </c>
    </row>
    <row r="449" spans="1:6" x14ac:dyDescent="0.35">
      <c r="A449" s="1">
        <v>45036</v>
      </c>
      <c r="B449" s="2">
        <v>102.24</v>
      </c>
      <c r="C449" s="4">
        <f t="shared" si="24"/>
        <v>96.931249999999991</v>
      </c>
      <c r="D449" s="4">
        <f t="shared" si="25"/>
        <v>3.6483550659852169</v>
      </c>
      <c r="E449" s="4">
        <f t="shared" si="26"/>
        <v>89.634539868029563</v>
      </c>
      <c r="F449" s="4">
        <f t="shared" si="27"/>
        <v>104.22796013197042</v>
      </c>
    </row>
    <row r="450" spans="1:6" x14ac:dyDescent="0.35">
      <c r="A450" s="1">
        <v>45035</v>
      </c>
      <c r="B450" s="2">
        <v>102.38</v>
      </c>
      <c r="C450" s="4">
        <f t="shared" si="24"/>
        <v>97.300749999999994</v>
      </c>
      <c r="D450" s="4">
        <f t="shared" si="25"/>
        <v>3.8039434390511109</v>
      </c>
      <c r="E450" s="4">
        <f t="shared" si="26"/>
        <v>89.692863121897773</v>
      </c>
      <c r="F450" s="4">
        <f t="shared" si="27"/>
        <v>104.90863687810221</v>
      </c>
    </row>
    <row r="451" spans="1:6" x14ac:dyDescent="0.35">
      <c r="A451" s="1">
        <v>45034</v>
      </c>
      <c r="B451" s="2">
        <v>102.17</v>
      </c>
      <c r="C451" s="4">
        <f t="shared" si="24"/>
        <v>97.776749999999993</v>
      </c>
      <c r="D451" s="4">
        <f t="shared" si="25"/>
        <v>3.7877982638334897</v>
      </c>
      <c r="E451" s="4">
        <f t="shared" si="26"/>
        <v>90.201153472333019</v>
      </c>
      <c r="F451" s="4">
        <f t="shared" si="27"/>
        <v>105.35234652766697</v>
      </c>
    </row>
    <row r="452" spans="1:6" x14ac:dyDescent="0.35">
      <c r="A452" s="1">
        <v>45033</v>
      </c>
      <c r="B452" s="2">
        <v>103.12</v>
      </c>
      <c r="C452" s="4">
        <f t="shared" si="24"/>
        <v>98.040249999999986</v>
      </c>
      <c r="D452" s="4">
        <f t="shared" si="25"/>
        <v>3.9629826125659444</v>
      </c>
      <c r="E452" s="4">
        <f t="shared" si="26"/>
        <v>90.114284774868096</v>
      </c>
      <c r="F452" s="4">
        <f t="shared" si="27"/>
        <v>105.96621522513188</v>
      </c>
    </row>
    <row r="453" spans="1:6" x14ac:dyDescent="0.35">
      <c r="A453" s="1">
        <v>45030</v>
      </c>
      <c r="B453" s="2">
        <v>102.53</v>
      </c>
      <c r="C453" s="4">
        <f t="shared" si="24"/>
        <v>98.43274999999997</v>
      </c>
      <c r="D453" s="4">
        <f t="shared" si="25"/>
        <v>3.9993129019245299</v>
      </c>
      <c r="E453" s="4">
        <f t="shared" si="26"/>
        <v>90.434124196150904</v>
      </c>
      <c r="F453" s="4">
        <f t="shared" si="27"/>
        <v>106.43137580384904</v>
      </c>
    </row>
    <row r="454" spans="1:6" x14ac:dyDescent="0.35">
      <c r="A454" s="1">
        <v>45029</v>
      </c>
      <c r="B454" s="2">
        <v>100.72</v>
      </c>
      <c r="C454" s="4">
        <f t="shared" si="24"/>
        <v>98.650749999999988</v>
      </c>
      <c r="D454" s="4">
        <f t="shared" si="25"/>
        <v>3.9992175094010585</v>
      </c>
      <c r="E454" s="4">
        <f t="shared" si="26"/>
        <v>90.652314981197875</v>
      </c>
      <c r="F454" s="4">
        <f t="shared" si="27"/>
        <v>106.6491850188021</v>
      </c>
    </row>
    <row r="455" spans="1:6" x14ac:dyDescent="0.35">
      <c r="A455" s="1">
        <v>45028</v>
      </c>
      <c r="B455" s="2">
        <v>100.16</v>
      </c>
      <c r="C455" s="4">
        <f t="shared" si="24"/>
        <v>98.916749999999993</v>
      </c>
      <c r="D455" s="4">
        <f t="shared" si="25"/>
        <v>3.9128999076771698</v>
      </c>
      <c r="E455" s="4">
        <f t="shared" si="26"/>
        <v>91.090950184645649</v>
      </c>
      <c r="F455" s="4">
        <f t="shared" si="27"/>
        <v>106.74254981535434</v>
      </c>
    </row>
    <row r="456" spans="1:6" x14ac:dyDescent="0.35">
      <c r="A456" s="1">
        <v>45027</v>
      </c>
      <c r="B456" s="2">
        <v>103.64</v>
      </c>
      <c r="C456" s="4">
        <f t="shared" si="24"/>
        <v>99.463249999999988</v>
      </c>
      <c r="D456" s="4">
        <f t="shared" si="25"/>
        <v>3.7684732568375754</v>
      </c>
      <c r="E456" s="4">
        <f t="shared" si="26"/>
        <v>91.926303486324841</v>
      </c>
      <c r="F456" s="4">
        <f t="shared" si="27"/>
        <v>107.00019651367514</v>
      </c>
    </row>
    <row r="457" spans="1:6" x14ac:dyDescent="0.35">
      <c r="A457" s="1">
        <v>45026</v>
      </c>
      <c r="B457" s="2">
        <v>103.04</v>
      </c>
      <c r="C457" s="4">
        <f t="shared" si="24"/>
        <v>99.976250000000007</v>
      </c>
      <c r="D457" s="4">
        <f t="shared" si="25"/>
        <v>3.513486471796925</v>
      </c>
      <c r="E457" s="4">
        <f t="shared" si="26"/>
        <v>92.94927705640616</v>
      </c>
      <c r="F457" s="4">
        <f t="shared" si="27"/>
        <v>107.00322294359385</v>
      </c>
    </row>
    <row r="458" spans="1:6" x14ac:dyDescent="0.35">
      <c r="A458" s="1">
        <v>45022</v>
      </c>
      <c r="B458" s="2">
        <v>104.06</v>
      </c>
      <c r="C458" s="4">
        <f t="shared" si="24"/>
        <v>100.67925</v>
      </c>
      <c r="D458" s="4">
        <f t="shared" si="25"/>
        <v>2.7763196299237607</v>
      </c>
      <c r="E458" s="4">
        <f t="shared" si="26"/>
        <v>95.126610740152472</v>
      </c>
      <c r="F458" s="4">
        <f t="shared" si="27"/>
        <v>106.23188925984752</v>
      </c>
    </row>
    <row r="459" spans="1:6" x14ac:dyDescent="0.35">
      <c r="A459" s="1">
        <v>45021</v>
      </c>
      <c r="B459" s="2">
        <v>105.27</v>
      </c>
      <c r="C459" s="4">
        <f t="shared" si="24"/>
        <v>101.31525000000002</v>
      </c>
      <c r="D459" s="4">
        <f t="shared" si="25"/>
        <v>2.2478809326785978</v>
      </c>
      <c r="E459" s="4">
        <f t="shared" si="26"/>
        <v>96.819488134642825</v>
      </c>
      <c r="F459" s="4">
        <f t="shared" si="27"/>
        <v>105.81101186535722</v>
      </c>
    </row>
    <row r="460" spans="1:6" x14ac:dyDescent="0.35">
      <c r="A460" s="1">
        <v>45020</v>
      </c>
      <c r="B460" s="2">
        <v>109.64</v>
      </c>
      <c r="C460" s="4">
        <f t="shared" si="24"/>
        <v>101.84900000000002</v>
      </c>
      <c r="D460" s="4">
        <f t="shared" si="25"/>
        <v>2.8208099900560484</v>
      </c>
      <c r="E460" s="4">
        <f t="shared" si="26"/>
        <v>96.207380019887921</v>
      </c>
      <c r="F460" s="4">
        <f t="shared" si="27"/>
        <v>107.49061998011211</v>
      </c>
    </row>
    <row r="461" spans="1:6" x14ac:dyDescent="0.35">
      <c r="A461" s="1">
        <v>45019</v>
      </c>
      <c r="B461" s="2">
        <v>108.25</v>
      </c>
      <c r="C461" s="4">
        <f t="shared" si="24"/>
        <v>102.30200000000001</v>
      </c>
      <c r="D461" s="4">
        <f t="shared" si="25"/>
        <v>3.0735786959178393</v>
      </c>
      <c r="E461" s="4">
        <f t="shared" si="26"/>
        <v>96.15484260816433</v>
      </c>
      <c r="F461" s="4">
        <f t="shared" si="27"/>
        <v>108.44915739183568</v>
      </c>
    </row>
    <row r="462" spans="1:6" x14ac:dyDescent="0.35">
      <c r="A462" s="1">
        <v>45016</v>
      </c>
      <c r="B462" s="2">
        <v>111.33</v>
      </c>
      <c r="C462" s="4">
        <f t="shared" si="24"/>
        <v>103.05500000000002</v>
      </c>
      <c r="D462" s="4">
        <f t="shared" si="25"/>
        <v>3.3370443509189385</v>
      </c>
      <c r="E462" s="4">
        <f t="shared" si="26"/>
        <v>96.380911298162147</v>
      </c>
      <c r="F462" s="4">
        <f t="shared" si="27"/>
        <v>109.7290887018379</v>
      </c>
    </row>
    <row r="463" spans="1:6" x14ac:dyDescent="0.35">
      <c r="A463" s="1">
        <v>45015</v>
      </c>
      <c r="B463" s="2">
        <v>108.78</v>
      </c>
      <c r="C463" s="4">
        <f t="shared" si="24"/>
        <v>103.4425</v>
      </c>
      <c r="D463" s="4">
        <f t="shared" si="25"/>
        <v>3.5241252460717112</v>
      </c>
      <c r="E463" s="4">
        <f t="shared" si="26"/>
        <v>96.394249507856571</v>
      </c>
      <c r="F463" s="4">
        <f t="shared" si="27"/>
        <v>110.49075049214342</v>
      </c>
    </row>
    <row r="464" spans="1:6" x14ac:dyDescent="0.35">
      <c r="A464" s="1">
        <v>45014</v>
      </c>
      <c r="B464" s="2">
        <v>107.67</v>
      </c>
      <c r="C464" s="4">
        <f t="shared" si="24"/>
        <v>103.8015</v>
      </c>
      <c r="D464" s="4">
        <f t="shared" si="25"/>
        <v>3.570476543824368</v>
      </c>
      <c r="E464" s="4">
        <f t="shared" si="26"/>
        <v>96.660546912351265</v>
      </c>
      <c r="F464" s="4">
        <f t="shared" si="27"/>
        <v>110.94245308764874</v>
      </c>
    </row>
    <row r="465" spans="1:6" x14ac:dyDescent="0.35">
      <c r="A465" s="1">
        <v>45013</v>
      </c>
      <c r="B465" s="2">
        <v>105.06</v>
      </c>
      <c r="C465" s="4">
        <f t="shared" si="24"/>
        <v>104.16600000000001</v>
      </c>
      <c r="D465" s="4">
        <f t="shared" si="25"/>
        <v>3.2978301957499263</v>
      </c>
      <c r="E465" s="4">
        <f t="shared" si="26"/>
        <v>97.570339608500163</v>
      </c>
      <c r="F465" s="4">
        <f t="shared" si="27"/>
        <v>110.76166039149986</v>
      </c>
    </row>
    <row r="466" spans="1:6" x14ac:dyDescent="0.35">
      <c r="A466" s="1">
        <v>45012</v>
      </c>
      <c r="B466" s="2">
        <v>104.88</v>
      </c>
      <c r="C466" s="4">
        <f t="shared" si="24"/>
        <v>104.4915</v>
      </c>
      <c r="D466" s="4">
        <f t="shared" si="25"/>
        <v>3.0191957124373379</v>
      </c>
      <c r="E466" s="4">
        <f t="shared" si="26"/>
        <v>98.453108575125327</v>
      </c>
      <c r="F466" s="4">
        <f t="shared" si="27"/>
        <v>110.52989142487468</v>
      </c>
    </row>
    <row r="467" spans="1:6" x14ac:dyDescent="0.35">
      <c r="A467" s="1">
        <v>45009</v>
      </c>
      <c r="B467" s="2">
        <v>106.85</v>
      </c>
      <c r="C467" s="4">
        <f t="shared" si="24"/>
        <v>104.69199999999998</v>
      </c>
      <c r="D467" s="4">
        <f t="shared" si="25"/>
        <v>3.0359670617449064</v>
      </c>
      <c r="E467" s="4">
        <f t="shared" si="26"/>
        <v>98.620065876510168</v>
      </c>
      <c r="F467" s="4">
        <f t="shared" si="27"/>
        <v>110.76393412348979</v>
      </c>
    </row>
    <row r="468" spans="1:6" x14ac:dyDescent="0.35">
      <c r="A468" s="1">
        <v>45008</v>
      </c>
      <c r="B468" s="2">
        <v>110.09</v>
      </c>
      <c r="C468" s="4">
        <f t="shared" si="24"/>
        <v>105.09400000000001</v>
      </c>
      <c r="D468" s="4">
        <f t="shared" si="25"/>
        <v>3.1880094102746939</v>
      </c>
      <c r="E468" s="4">
        <f t="shared" si="26"/>
        <v>98.717981179450618</v>
      </c>
      <c r="F468" s="4">
        <f t="shared" si="27"/>
        <v>111.4700188205494</v>
      </c>
    </row>
    <row r="469" spans="1:6" x14ac:dyDescent="0.35">
      <c r="A469" s="1">
        <v>45007</v>
      </c>
      <c r="B469" s="2">
        <v>110.96</v>
      </c>
      <c r="C469" s="4">
        <f t="shared" si="24"/>
        <v>105.52999999999997</v>
      </c>
      <c r="D469" s="4">
        <f t="shared" si="25"/>
        <v>3.3595446119972863</v>
      </c>
      <c r="E469" s="4">
        <f t="shared" si="26"/>
        <v>98.8109107760054</v>
      </c>
      <c r="F469" s="4">
        <f t="shared" si="27"/>
        <v>112.24908922399455</v>
      </c>
    </row>
    <row r="470" spans="1:6" x14ac:dyDescent="0.35">
      <c r="A470" s="1">
        <v>45006</v>
      </c>
      <c r="B470" s="2">
        <v>112.71</v>
      </c>
      <c r="C470" s="4">
        <f t="shared" ref="C470:C504" si="28">AVERAGE(B451:B470)</f>
        <v>106.04649999999999</v>
      </c>
      <c r="D470" s="4">
        <f t="shared" ref="D470:D504" si="29">_xlfn.STDEV.P(B451:B470)</f>
        <v>3.6195666522389103</v>
      </c>
      <c r="E470" s="4">
        <f t="shared" ref="E470:E504" si="30">C470-2*D470</f>
        <v>98.807366695522177</v>
      </c>
      <c r="F470" s="4">
        <f t="shared" ref="F470:F504" si="31">C470+2*D470</f>
        <v>113.28563330447781</v>
      </c>
    </row>
    <row r="471" spans="1:6" x14ac:dyDescent="0.35">
      <c r="A471" s="1">
        <v>45005</v>
      </c>
      <c r="B471" s="2">
        <v>108.36</v>
      </c>
      <c r="C471" s="4">
        <f t="shared" si="28"/>
        <v>106.35599999999997</v>
      </c>
      <c r="D471" s="4">
        <f t="shared" si="29"/>
        <v>3.5386048098085201</v>
      </c>
      <c r="E471" s="4">
        <f t="shared" si="30"/>
        <v>99.278790380382929</v>
      </c>
      <c r="F471" s="4">
        <f t="shared" si="31"/>
        <v>113.433209619617</v>
      </c>
    </row>
    <row r="472" spans="1:6" x14ac:dyDescent="0.35">
      <c r="A472" s="1">
        <v>45002</v>
      </c>
      <c r="B472" s="2">
        <v>105.34</v>
      </c>
      <c r="C472" s="4">
        <f t="shared" si="28"/>
        <v>106.46699999999998</v>
      </c>
      <c r="D472" s="4">
        <f t="shared" si="29"/>
        <v>3.4695001080847359</v>
      </c>
      <c r="E472" s="4">
        <f t="shared" si="30"/>
        <v>99.527999783830509</v>
      </c>
      <c r="F472" s="4">
        <f t="shared" si="31"/>
        <v>113.40600021616946</v>
      </c>
    </row>
    <row r="473" spans="1:6" x14ac:dyDescent="0.35">
      <c r="A473" s="1">
        <v>45001</v>
      </c>
      <c r="B473" s="2">
        <v>104.43</v>
      </c>
      <c r="C473" s="4">
        <f t="shared" si="28"/>
        <v>106.56199999999998</v>
      </c>
      <c r="D473" s="4">
        <f t="shared" si="29"/>
        <v>3.3853915578556042</v>
      </c>
      <c r="E473" s="4">
        <f t="shared" si="30"/>
        <v>99.791216884288772</v>
      </c>
      <c r="F473" s="4">
        <f t="shared" si="31"/>
        <v>113.33278311571119</v>
      </c>
    </row>
    <row r="474" spans="1:6" x14ac:dyDescent="0.35">
      <c r="A474" s="1">
        <v>45000</v>
      </c>
      <c r="B474" s="2">
        <v>104.74</v>
      </c>
      <c r="C474" s="4">
        <f t="shared" si="28"/>
        <v>106.76299999999999</v>
      </c>
      <c r="D474" s="4">
        <f t="shared" si="29"/>
        <v>3.1432484788829522</v>
      </c>
      <c r="E474" s="4">
        <f t="shared" si="30"/>
        <v>100.47650304223409</v>
      </c>
      <c r="F474" s="4">
        <f t="shared" si="31"/>
        <v>113.0494969577659</v>
      </c>
    </row>
    <row r="475" spans="1:6" x14ac:dyDescent="0.35">
      <c r="A475" s="1">
        <v>44999</v>
      </c>
      <c r="B475" s="2">
        <v>102.79</v>
      </c>
      <c r="C475" s="4">
        <f t="shared" si="28"/>
        <v>106.89449999999999</v>
      </c>
      <c r="D475" s="4">
        <f t="shared" si="29"/>
        <v>2.910665688463721</v>
      </c>
      <c r="E475" s="4">
        <f t="shared" si="30"/>
        <v>101.07316862307255</v>
      </c>
      <c r="F475" s="4">
        <f t="shared" si="31"/>
        <v>112.71583137692744</v>
      </c>
    </row>
    <row r="476" spans="1:6" x14ac:dyDescent="0.35">
      <c r="A476" s="1">
        <v>44998</v>
      </c>
      <c r="B476" s="2">
        <v>103.71</v>
      </c>
      <c r="C476" s="4">
        <f t="shared" si="28"/>
        <v>106.89799999999998</v>
      </c>
      <c r="D476" s="4">
        <f t="shared" si="29"/>
        <v>2.9067896380715257</v>
      </c>
      <c r="E476" s="4">
        <f t="shared" si="30"/>
        <v>101.08442072385694</v>
      </c>
      <c r="F476" s="4">
        <f t="shared" si="31"/>
        <v>112.71157927614303</v>
      </c>
    </row>
    <row r="477" spans="1:6" x14ac:dyDescent="0.35">
      <c r="A477" s="1">
        <v>44995</v>
      </c>
      <c r="B477" s="2">
        <v>105.98</v>
      </c>
      <c r="C477" s="4">
        <f t="shared" si="28"/>
        <v>107.04499999999999</v>
      </c>
      <c r="D477" s="4">
        <f t="shared" si="29"/>
        <v>2.7795224409959332</v>
      </c>
      <c r="E477" s="4">
        <f t="shared" si="30"/>
        <v>101.48595511800812</v>
      </c>
      <c r="F477" s="4">
        <f t="shared" si="31"/>
        <v>112.60404488199185</v>
      </c>
    </row>
    <row r="478" spans="1:6" x14ac:dyDescent="0.35">
      <c r="A478" s="1">
        <v>44994</v>
      </c>
      <c r="B478" s="2">
        <v>107.74</v>
      </c>
      <c r="C478" s="4">
        <f t="shared" si="28"/>
        <v>107.229</v>
      </c>
      <c r="D478" s="4">
        <f t="shared" si="29"/>
        <v>2.6963918483781235</v>
      </c>
      <c r="E478" s="4">
        <f t="shared" si="30"/>
        <v>101.83621630324376</v>
      </c>
      <c r="F478" s="4">
        <f t="shared" si="31"/>
        <v>112.62178369675624</v>
      </c>
    </row>
    <row r="479" spans="1:6" x14ac:dyDescent="0.35">
      <c r="A479" s="1">
        <v>44993</v>
      </c>
      <c r="B479" s="2">
        <v>113.18</v>
      </c>
      <c r="C479" s="4">
        <f t="shared" si="28"/>
        <v>107.62449999999998</v>
      </c>
      <c r="D479" s="4">
        <f t="shared" si="29"/>
        <v>2.9483800212998319</v>
      </c>
      <c r="E479" s="4">
        <f t="shared" si="30"/>
        <v>101.72773995740032</v>
      </c>
      <c r="F479" s="4">
        <f t="shared" si="31"/>
        <v>113.52126004259965</v>
      </c>
    </row>
    <row r="480" spans="1:6" x14ac:dyDescent="0.35">
      <c r="A480" s="1">
        <v>44992</v>
      </c>
      <c r="B480" s="2">
        <v>115.89</v>
      </c>
      <c r="C480" s="4">
        <f t="shared" si="28"/>
        <v>107.93700000000001</v>
      </c>
      <c r="D480" s="4">
        <f t="shared" si="29"/>
        <v>3.4362917512923721</v>
      </c>
      <c r="E480" s="4">
        <f t="shared" si="30"/>
        <v>101.06441649741527</v>
      </c>
      <c r="F480" s="4">
        <f t="shared" si="31"/>
        <v>114.80958350258476</v>
      </c>
    </row>
    <row r="481" spans="1:6" x14ac:dyDescent="0.35">
      <c r="A481" s="1">
        <v>44991</v>
      </c>
      <c r="B481" s="2">
        <v>118.78</v>
      </c>
      <c r="C481" s="4">
        <f t="shared" si="28"/>
        <v>108.46350000000002</v>
      </c>
      <c r="D481" s="4">
        <f t="shared" si="29"/>
        <v>4.1718740093631776</v>
      </c>
      <c r="E481" s="4">
        <f t="shared" si="30"/>
        <v>100.11975198127367</v>
      </c>
      <c r="F481" s="4">
        <f t="shared" si="31"/>
        <v>116.80724801872638</v>
      </c>
    </row>
    <row r="482" spans="1:6" x14ac:dyDescent="0.35">
      <c r="A482" s="1">
        <v>44988</v>
      </c>
      <c r="B482" s="2">
        <v>121.42</v>
      </c>
      <c r="C482" s="4">
        <f t="shared" si="28"/>
        <v>108.96800000000003</v>
      </c>
      <c r="D482" s="4">
        <f t="shared" si="29"/>
        <v>5.0132540330607629</v>
      </c>
      <c r="E482" s="4">
        <f t="shared" si="30"/>
        <v>98.94149193387851</v>
      </c>
      <c r="F482" s="4">
        <f t="shared" si="31"/>
        <v>118.99450806612155</v>
      </c>
    </row>
    <row r="483" spans="1:6" x14ac:dyDescent="0.35">
      <c r="A483" s="1">
        <v>44987</v>
      </c>
      <c r="B483" s="2">
        <v>118.46</v>
      </c>
      <c r="C483" s="4">
        <f t="shared" si="28"/>
        <v>109.45200000000003</v>
      </c>
      <c r="D483" s="4">
        <f t="shared" si="29"/>
        <v>5.42232385606024</v>
      </c>
      <c r="E483" s="4">
        <f t="shared" si="30"/>
        <v>98.60735228787955</v>
      </c>
      <c r="F483" s="4">
        <f t="shared" si="31"/>
        <v>120.2966477121205</v>
      </c>
    </row>
    <row r="484" spans="1:6" x14ac:dyDescent="0.35">
      <c r="A484" s="1">
        <v>44986</v>
      </c>
      <c r="B484" s="2">
        <v>118.28</v>
      </c>
      <c r="C484" s="4">
        <f t="shared" si="28"/>
        <v>109.98250000000003</v>
      </c>
      <c r="D484" s="4">
        <f t="shared" si="29"/>
        <v>5.7321958052739266</v>
      </c>
      <c r="E484" s="4">
        <f t="shared" si="30"/>
        <v>98.518108389452181</v>
      </c>
      <c r="F484" s="4">
        <f t="shared" si="31"/>
        <v>121.44689161054788</v>
      </c>
    </row>
    <row r="485" spans="1:6" x14ac:dyDescent="0.35">
      <c r="A485" s="1">
        <v>44985</v>
      </c>
      <c r="B485" s="2">
        <v>121.41</v>
      </c>
      <c r="C485" s="4">
        <f t="shared" si="28"/>
        <v>110.80000000000003</v>
      </c>
      <c r="D485" s="4">
        <f t="shared" si="29"/>
        <v>6.1243448629220731</v>
      </c>
      <c r="E485" s="4">
        <f t="shared" si="30"/>
        <v>98.551310274155881</v>
      </c>
      <c r="F485" s="4">
        <f t="shared" si="31"/>
        <v>123.04868972584417</v>
      </c>
    </row>
    <row r="486" spans="1:6" x14ac:dyDescent="0.35">
      <c r="A486" s="1">
        <v>44984</v>
      </c>
      <c r="B486" s="2">
        <v>120.6</v>
      </c>
      <c r="C486" s="4">
        <f t="shared" si="28"/>
        <v>111.58600000000001</v>
      </c>
      <c r="D486" s="4">
        <f t="shared" si="29"/>
        <v>6.3197692995868122</v>
      </c>
      <c r="E486" s="4">
        <f t="shared" si="30"/>
        <v>98.946461400826394</v>
      </c>
      <c r="F486" s="4">
        <f t="shared" si="31"/>
        <v>124.22553859917363</v>
      </c>
    </row>
    <row r="487" spans="1:6" x14ac:dyDescent="0.35">
      <c r="A487" s="1">
        <v>44981</v>
      </c>
      <c r="B487" s="2">
        <v>124.105</v>
      </c>
      <c r="C487" s="4">
        <f t="shared" si="28"/>
        <v>112.44875000000002</v>
      </c>
      <c r="D487" s="4">
        <f t="shared" si="29"/>
        <v>6.7756866580074373</v>
      </c>
      <c r="E487" s="4">
        <f t="shared" si="30"/>
        <v>98.897376683985144</v>
      </c>
      <c r="F487" s="4">
        <f t="shared" si="31"/>
        <v>126.00012331601489</v>
      </c>
    </row>
    <row r="488" spans="1:6" x14ac:dyDescent="0.35">
      <c r="A488" s="1">
        <v>44980</v>
      </c>
      <c r="B488" s="2">
        <v>131.58000000000001</v>
      </c>
      <c r="C488" s="4">
        <f t="shared" si="28"/>
        <v>113.52325</v>
      </c>
      <c r="D488" s="4">
        <f t="shared" si="29"/>
        <v>7.9232209793429345</v>
      </c>
      <c r="E488" s="4">
        <f t="shared" si="30"/>
        <v>97.676808041314132</v>
      </c>
      <c r="F488" s="4">
        <f t="shared" si="31"/>
        <v>129.36969195868588</v>
      </c>
    </row>
    <row r="489" spans="1:6" x14ac:dyDescent="0.35">
      <c r="A489" s="1">
        <v>44979</v>
      </c>
      <c r="B489" s="2">
        <v>128.44999999999999</v>
      </c>
      <c r="C489" s="4">
        <f t="shared" si="28"/>
        <v>114.39775</v>
      </c>
      <c r="D489" s="4">
        <f t="shared" si="29"/>
        <v>8.5337307894906083</v>
      </c>
      <c r="E489" s="4">
        <f t="shared" si="30"/>
        <v>97.330288421018793</v>
      </c>
      <c r="F489" s="4">
        <f t="shared" si="31"/>
        <v>131.46521157898121</v>
      </c>
    </row>
    <row r="490" spans="1:6" x14ac:dyDescent="0.35">
      <c r="A490" s="1">
        <v>44978</v>
      </c>
      <c r="B490" s="2">
        <v>124.845</v>
      </c>
      <c r="C490" s="4">
        <f t="shared" si="28"/>
        <v>115.00449999999998</v>
      </c>
      <c r="D490" s="4">
        <f t="shared" si="29"/>
        <v>8.8188004995010516</v>
      </c>
      <c r="E490" s="4">
        <f t="shared" si="30"/>
        <v>97.366899000997876</v>
      </c>
      <c r="F490" s="4">
        <f t="shared" si="31"/>
        <v>132.64210099900208</v>
      </c>
    </row>
    <row r="491" spans="1:6" x14ac:dyDescent="0.35">
      <c r="A491" s="1">
        <v>44974</v>
      </c>
      <c r="B491" s="2">
        <v>129.68</v>
      </c>
      <c r="C491" s="4">
        <f t="shared" si="28"/>
        <v>116.0705</v>
      </c>
      <c r="D491" s="4">
        <f t="shared" si="29"/>
        <v>9.2301642591017838</v>
      </c>
      <c r="E491" s="4">
        <f t="shared" si="30"/>
        <v>97.610171481796428</v>
      </c>
      <c r="F491" s="4">
        <f t="shared" si="31"/>
        <v>134.53082851820358</v>
      </c>
    </row>
    <row r="492" spans="1:6" x14ac:dyDescent="0.35">
      <c r="A492" s="1">
        <v>44973</v>
      </c>
      <c r="B492" s="2">
        <v>130.31</v>
      </c>
      <c r="C492" s="4">
        <f t="shared" si="28"/>
        <v>117.31899999999999</v>
      </c>
      <c r="D492" s="4">
        <f t="shared" si="29"/>
        <v>9.38179974738323</v>
      </c>
      <c r="E492" s="4">
        <f t="shared" si="30"/>
        <v>98.555400505233536</v>
      </c>
      <c r="F492" s="4">
        <f t="shared" si="31"/>
        <v>136.08259949476644</v>
      </c>
    </row>
    <row r="493" spans="1:6" x14ac:dyDescent="0.35">
      <c r="A493" s="1">
        <v>44972</v>
      </c>
      <c r="B493" s="2">
        <v>142.26</v>
      </c>
      <c r="C493" s="4">
        <f t="shared" si="28"/>
        <v>119.2105</v>
      </c>
      <c r="D493" s="4">
        <f t="shared" si="29"/>
        <v>10.355517961454174</v>
      </c>
      <c r="E493" s="4">
        <f t="shared" si="30"/>
        <v>98.499464077091645</v>
      </c>
      <c r="F493" s="4">
        <f t="shared" si="31"/>
        <v>139.92153592290833</v>
      </c>
    </row>
    <row r="494" spans="1:6" x14ac:dyDescent="0.35">
      <c r="A494" s="1">
        <v>44971</v>
      </c>
      <c r="B494" s="2">
        <v>133.75</v>
      </c>
      <c r="C494" s="4">
        <f t="shared" si="28"/>
        <v>120.66100000000002</v>
      </c>
      <c r="D494" s="4">
        <f t="shared" si="29"/>
        <v>10.258308169479019</v>
      </c>
      <c r="E494" s="4">
        <f t="shared" si="30"/>
        <v>100.14438366104199</v>
      </c>
      <c r="F494" s="4">
        <f t="shared" si="31"/>
        <v>141.17761633895805</v>
      </c>
    </row>
    <row r="495" spans="1:6" x14ac:dyDescent="0.35">
      <c r="A495" s="1">
        <v>44970</v>
      </c>
      <c r="B495" s="2">
        <v>134.75</v>
      </c>
      <c r="C495" s="4">
        <f t="shared" si="28"/>
        <v>122.25899999999999</v>
      </c>
      <c r="D495" s="4">
        <f t="shared" si="29"/>
        <v>9.8303431527083518</v>
      </c>
      <c r="E495" s="4">
        <f t="shared" si="30"/>
        <v>102.59831369458328</v>
      </c>
      <c r="F495" s="4">
        <f t="shared" si="31"/>
        <v>141.91968630541669</v>
      </c>
    </row>
    <row r="496" spans="1:6" x14ac:dyDescent="0.35">
      <c r="A496" s="1">
        <v>44967</v>
      </c>
      <c r="B496" s="2">
        <v>132.13</v>
      </c>
      <c r="C496" s="4">
        <f t="shared" si="28"/>
        <v>123.67999999999999</v>
      </c>
      <c r="D496" s="4">
        <f t="shared" si="29"/>
        <v>9.0711061894346692</v>
      </c>
      <c r="E496" s="4">
        <f t="shared" si="30"/>
        <v>105.53778762113066</v>
      </c>
      <c r="F496" s="4">
        <f t="shared" si="31"/>
        <v>141.82221237886932</v>
      </c>
    </row>
    <row r="497" spans="1:6" x14ac:dyDescent="0.35">
      <c r="A497" s="1">
        <v>44966</v>
      </c>
      <c r="B497" s="2">
        <v>137.56</v>
      </c>
      <c r="C497" s="4">
        <f t="shared" si="28"/>
        <v>125.25899999999999</v>
      </c>
      <c r="D497" s="4">
        <f t="shared" si="29"/>
        <v>8.5883611067537213</v>
      </c>
      <c r="E497" s="4">
        <f t="shared" si="30"/>
        <v>108.08227778649254</v>
      </c>
      <c r="F497" s="4">
        <f t="shared" si="31"/>
        <v>142.43572221350743</v>
      </c>
    </row>
    <row r="498" spans="1:6" x14ac:dyDescent="0.35">
      <c r="A498" s="1">
        <v>44965</v>
      </c>
      <c r="B498" s="2">
        <v>144.02000000000001</v>
      </c>
      <c r="C498" s="4">
        <f t="shared" si="28"/>
        <v>127.07300000000001</v>
      </c>
      <c r="D498" s="4">
        <f t="shared" si="29"/>
        <v>8.5277393546003744</v>
      </c>
      <c r="E498" s="4">
        <f t="shared" si="30"/>
        <v>110.01752129079927</v>
      </c>
      <c r="F498" s="4">
        <f t="shared" si="31"/>
        <v>144.12847870920075</v>
      </c>
    </row>
    <row r="499" spans="1:6" x14ac:dyDescent="0.35">
      <c r="A499" s="1">
        <v>44964</v>
      </c>
      <c r="B499" s="2">
        <v>145.03</v>
      </c>
      <c r="C499" s="4">
        <f t="shared" si="28"/>
        <v>128.66550000000001</v>
      </c>
      <c r="D499" s="4">
        <f t="shared" si="29"/>
        <v>8.7554669921141279</v>
      </c>
      <c r="E499" s="4">
        <f t="shared" si="30"/>
        <v>111.15456601577175</v>
      </c>
      <c r="F499" s="4">
        <f t="shared" si="31"/>
        <v>146.17643398422825</v>
      </c>
    </row>
    <row r="500" spans="1:6" x14ac:dyDescent="0.35">
      <c r="A500" s="1">
        <v>44963</v>
      </c>
      <c r="B500" s="2">
        <v>144.54</v>
      </c>
      <c r="C500" s="4">
        <f t="shared" si="28"/>
        <v>130.09800000000001</v>
      </c>
      <c r="D500" s="4">
        <f t="shared" si="29"/>
        <v>8.8907515711552776</v>
      </c>
      <c r="E500" s="4">
        <f t="shared" si="30"/>
        <v>112.31649685768946</v>
      </c>
      <c r="F500" s="4">
        <f t="shared" si="31"/>
        <v>147.87950314231057</v>
      </c>
    </row>
    <row r="501" spans="1:6" x14ac:dyDescent="0.35">
      <c r="A501" s="1">
        <v>44960</v>
      </c>
      <c r="B501" s="2">
        <v>147.5</v>
      </c>
      <c r="C501" s="4">
        <f t="shared" si="28"/>
        <v>131.53400000000002</v>
      </c>
      <c r="D501" s="4">
        <f t="shared" si="29"/>
        <v>9.2585091402449891</v>
      </c>
      <c r="E501" s="4">
        <f t="shared" si="30"/>
        <v>113.01698171951004</v>
      </c>
      <c r="F501" s="4">
        <f t="shared" si="31"/>
        <v>150.05101828048998</v>
      </c>
    </row>
    <row r="502" spans="1:6" x14ac:dyDescent="0.35">
      <c r="A502" s="1">
        <v>44959</v>
      </c>
      <c r="B502" s="2">
        <v>148.19999999999999</v>
      </c>
      <c r="C502" s="4">
        <f t="shared" si="28"/>
        <v>132.87299999999999</v>
      </c>
      <c r="D502" s="4">
        <f t="shared" si="29"/>
        <v>9.6280942299086369</v>
      </c>
      <c r="E502" s="4">
        <f t="shared" si="30"/>
        <v>113.61681154018271</v>
      </c>
      <c r="F502" s="4">
        <f t="shared" si="31"/>
        <v>152.12918845981727</v>
      </c>
    </row>
    <row r="503" spans="1:6" x14ac:dyDescent="0.35">
      <c r="A503" s="1">
        <v>44958</v>
      </c>
      <c r="B503" s="2">
        <v>139.58000000000001</v>
      </c>
      <c r="C503" s="4">
        <f t="shared" si="28"/>
        <v>133.929</v>
      </c>
      <c r="D503" s="4">
        <f t="shared" si="29"/>
        <v>9.1349617678455566</v>
      </c>
      <c r="E503" s="4">
        <f t="shared" si="30"/>
        <v>115.6590764643089</v>
      </c>
      <c r="F503" s="4">
        <f t="shared" si="31"/>
        <v>152.19892353569111</v>
      </c>
    </row>
    <row r="504" spans="1:6" x14ac:dyDescent="0.35">
      <c r="A504" s="1">
        <v>44957</v>
      </c>
      <c r="B504" s="2">
        <v>137.58000000000001</v>
      </c>
      <c r="C504" s="4">
        <f t="shared" si="28"/>
        <v>134.89399999999998</v>
      </c>
      <c r="D504" s="4">
        <f t="shared" si="29"/>
        <v>8.4224836895063202</v>
      </c>
      <c r="E504" s="4">
        <f t="shared" si="30"/>
        <v>118.04903262098733</v>
      </c>
      <c r="F504" s="4">
        <f t="shared" si="31"/>
        <v>151.73896737901262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EBC094-C27D-4320-A95B-59314253FE91}">
  <dimension ref="A1:C4"/>
  <sheetViews>
    <sheetView workbookViewId="0">
      <selection activeCell="C1" sqref="C1:C4"/>
    </sheetView>
  </sheetViews>
  <sheetFormatPr defaultRowHeight="14.5" x14ac:dyDescent="0.35"/>
  <sheetData>
    <row r="1" spans="1:3" x14ac:dyDescent="0.35">
      <c r="A1" t="s">
        <v>6</v>
      </c>
      <c r="B1" t="s">
        <v>7</v>
      </c>
      <c r="C1" s="3" t="s">
        <v>8</v>
      </c>
    </row>
    <row r="2" spans="1:3" x14ac:dyDescent="0.35">
      <c r="A2" t="s">
        <v>9</v>
      </c>
      <c r="B2">
        <v>60.6</v>
      </c>
      <c r="C2" s="3">
        <v>0.28000000000000003</v>
      </c>
    </row>
    <row r="3" spans="1:3" x14ac:dyDescent="0.35">
      <c r="A3" t="s">
        <v>10</v>
      </c>
      <c r="B3">
        <v>9.9</v>
      </c>
      <c r="C3" s="3">
        <v>0.05</v>
      </c>
    </row>
    <row r="4" spans="1:3" x14ac:dyDescent="0.35">
      <c r="A4" t="s">
        <v>11</v>
      </c>
      <c r="B4">
        <v>146.30000000000001</v>
      </c>
      <c r="C4" s="3">
        <v>0.67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ETSY Historical - 2YRS</vt:lpstr>
      <vt:lpstr>Bollinger Bands</vt:lpstr>
      <vt:lpstr>Sentiment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Armani Chalmers</dc:creator>
  <cp:lastModifiedBy>Armani Chalmers</cp:lastModifiedBy>
  <dcterms:created xsi:type="dcterms:W3CDTF">2025-02-02T16:20:39Z</dcterms:created>
  <dcterms:modified xsi:type="dcterms:W3CDTF">2025-02-03T02:58:58Z</dcterms:modified>
</cp:coreProperties>
</file>